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media/image3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ion Sheet" sheetId="1" state="visible" r:id="rId2"/>
    <sheet name="Thermal Shutdown Limit Plot" sheetId="2" state="visible" r:id="rId3"/>
    <sheet name="Res EIA Tables" sheetId="3" state="visible" r:id="rId4"/>
    <sheet name="Cap Tables" sheetId="4" state="visible" r:id="rId5"/>
  </sheets>
  <definedNames>
    <definedName function="false" hidden="false" name="Cdvdt" vbProcedure="false">'Calculation Sheet'!$D$45</definedName>
    <definedName function="false" hidden="false" name="Cdvdt_cal1" vbProcedure="false">'Calculation Sheet'!$D$42</definedName>
    <definedName function="false" hidden="false" name="Cdvdt_cal2" vbProcedure="false">'Calculation Sheet'!$D$43</definedName>
    <definedName function="false" hidden="false" name="Cout" vbProcedure="false">'Calculation Sheet'!$D$8</definedName>
    <definedName function="false" hidden="false" name="Gain_dvdt" vbProcedure="false">'Calculation Sheet'!$D$80</definedName>
    <definedName function="false" hidden="false" name="Gain_IMON" vbProcedure="false">'Calculation Sheet'!$D$82</definedName>
    <definedName function="false" hidden="false" name="Icharge" vbProcedure="false">'Calculation Sheet'!$D$47</definedName>
    <definedName function="false" hidden="false" name="Icharge_req" vbProcedure="false">'Calculation Sheet'!$D$41</definedName>
    <definedName function="false" hidden="false" name="Ilimit" vbProcedure="false">'Calculation Sheet'!$D$12</definedName>
    <definedName function="false" hidden="false" name="Ilimit_final" vbProcedure="false">'Calculation Sheet'!$D$31</definedName>
    <definedName function="false" hidden="false" name="Imax" vbProcedure="false">'Calculation Sheet'!$D$11</definedName>
    <definedName function="false" hidden="false" name="I_dvdt" vbProcedure="false">'Calculation Sheet'!$D$79</definedName>
    <definedName function="false" hidden="false" name="OVPref" vbProcedure="false">'Calculation Sheet'!$D$78</definedName>
    <definedName function="false" hidden="false" name="OVset" vbProcedure="false">'Calculation Sheet'!$D$7</definedName>
    <definedName function="false" hidden="false" name="Rdson_125deg" vbProcedure="false">'Calculation Sheet'!$D$73</definedName>
    <definedName function="false" hidden="false" name="Rdson_25deg" vbProcedure="false">'Calculation Sheet'!$D$71</definedName>
    <definedName function="false" hidden="false" name="Rdson_85deg" vbProcedure="false">'Calculation Sheet'!$D$72</definedName>
    <definedName function="false" hidden="false" name="Rilim" vbProcedure="false">'Calculation Sheet'!$D$30</definedName>
    <definedName function="false" hidden="false" name="RIMON_sel" vbProcedure="false">'Calculation Sheet'!$D$61</definedName>
    <definedName function="false" hidden="false" name="RIN" vbProcedure="false">'Calculation Sheet'!$D$21</definedName>
    <definedName function="false" hidden="false" name="Rlimit" vbProcedure="false">'Calculation Sheet'!$D$30</definedName>
    <definedName function="false" hidden="false" name="RLstart" vbProcedure="false">'Calculation Sheet'!$D$10</definedName>
    <definedName function="false" hidden="false" name="ROVP" vbProcedure="false">'Calculation Sheet'!$D$19</definedName>
    <definedName function="false" hidden="false" name="RUVLO" vbProcedure="false">'Calculation Sheet'!$D$20</definedName>
    <definedName function="false" hidden="false" name="Ta" vbProcedure="false">'Calculation Sheet'!$D$9</definedName>
    <definedName function="false" hidden="false" name="Tdvdt" vbProcedure="false">'Calculation Sheet'!$D$46</definedName>
    <definedName function="false" hidden="false" name="Tdvdt_default" vbProcedure="false">'Calculation Sheet'!$D$81</definedName>
    <definedName function="false" hidden="false" name="Tstart_req" vbProcedure="false">'Calculation Sheet'!$D$40</definedName>
    <definedName function="false" hidden="false" name="UVLOhys" vbProcedure="false">'Calculation Sheet'!$D$77</definedName>
    <definedName function="false" hidden="false" name="UVLOref" vbProcedure="false">'Calculation Sheet'!$D$76</definedName>
    <definedName function="false" hidden="false" name="UVset" vbProcedure="false">'Calculation Sheet'!$D$6</definedName>
    <definedName function="false" hidden="false" name="Vinmax" vbProcedure="false">'Calculation Sheet'!$D$5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<sst xmlns="http://schemas.openxmlformats.org/spreadsheetml/2006/main" count="227" uniqueCount="171">
  <si>
    <t xml:space="preserve">TPS26600 Design Calculator Tool</t>
  </si>
  <si>
    <t xml:space="preserve">Constants Cells</t>
  </si>
  <si>
    <t xml:space="preserve">Input / Select Cells</t>
  </si>
  <si>
    <t xml:space="preserve">Calculation Cells</t>
  </si>
  <si>
    <r>
      <rPr>
        <sz val="11"/>
        <color rgb="FF000000"/>
        <rFont val="Calibri"/>
        <family val="2"/>
        <charset val="1"/>
      </rPr>
      <t xml:space="preserve">Calculated, but can be over-ridden by the user. 
</t>
    </r>
    <r>
      <rPr>
        <sz val="11"/>
        <rFont val="Calibri"/>
        <family val="2"/>
        <charset val="1"/>
      </rPr>
      <t xml:space="preserve">Note: Once cells are over-ridden, new calculation sheet should be used for the next design</t>
    </r>
  </si>
  <si>
    <t xml:space="preserve">Parameter</t>
  </si>
  <si>
    <t xml:space="preserve">Description</t>
  </si>
  <si>
    <t xml:space="preserve">Value </t>
  </si>
  <si>
    <t xml:space="preserve"> Units</t>
  </si>
  <si>
    <t xml:space="preserve">Tolerance</t>
  </si>
  <si>
    <r>
      <rPr>
        <sz val="11"/>
        <color rgb="FF000000"/>
        <rFont val="Calibri"/>
        <family val="2"/>
        <charset val="1"/>
      </rPr>
      <t xml:space="preserve">V</t>
    </r>
    <r>
      <rPr>
        <vertAlign val="subscript"/>
        <sz val="11"/>
        <color rgb="FF000000"/>
        <rFont val="Calibri"/>
        <family val="2"/>
        <charset val="1"/>
      </rPr>
      <t xml:space="preserve">IN </t>
    </r>
    <r>
      <rPr>
        <sz val="11"/>
        <color rgb="FF000000"/>
        <rFont val="Calibri"/>
        <family val="2"/>
        <charset val="1"/>
      </rPr>
      <t xml:space="preserve">(max)</t>
    </r>
  </si>
  <si>
    <t xml:space="preserve">Maximum System Input Voltage</t>
  </si>
  <si>
    <t xml:space="preserve">V</t>
  </si>
  <si>
    <t xml:space="preserve">UVset</t>
  </si>
  <si>
    <t xml:space="preserve">Undervoltage Lockout Threshold</t>
  </si>
  <si>
    <t xml:space="preserve">OVset</t>
  </si>
  <si>
    <t xml:space="preserve">Over Voltage Cut-Off Threshold</t>
  </si>
  <si>
    <t xml:space="preserve">Cout</t>
  </si>
  <si>
    <t xml:space="preserve">Load Capacitance</t>
  </si>
  <si>
    <t xml:space="preserve">µF</t>
  </si>
  <si>
    <r>
      <rPr>
        <sz val="11"/>
        <color rgb="FF000000"/>
        <rFont val="Calibri"/>
        <family val="2"/>
        <charset val="1"/>
      </rPr>
      <t xml:space="preserve">T</t>
    </r>
    <r>
      <rPr>
        <vertAlign val="subscript"/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Calibri"/>
        <family val="2"/>
        <charset val="1"/>
      </rPr>
      <t xml:space="preserve">(max)</t>
    </r>
  </si>
  <si>
    <t xml:space="preserve">Maximum Ambient Temperature </t>
  </si>
  <si>
    <t xml:space="preserve">TA = 85C</t>
  </si>
  <si>
    <t xml:space="preserve">°C</t>
  </si>
  <si>
    <t xml:space="preserve">RLstart</t>
  </si>
  <si>
    <t xml:space="preserve">Load during start-up (Assumed to be resistive)</t>
  </si>
  <si>
    <t xml:space="preserve">Ω</t>
  </si>
  <si>
    <t xml:space="preserve">Imax</t>
  </si>
  <si>
    <t xml:space="preserve">Maximum continuous load current</t>
  </si>
  <si>
    <t xml:space="preserve">A</t>
  </si>
  <si>
    <t xml:space="preserve">ILimit</t>
  </si>
  <si>
    <t xml:space="preserve">Current Limit, 10% higher than the maximum continuous load current</t>
  </si>
  <si>
    <t xml:space="preserve">UVLO, OVP Calculations</t>
  </si>
  <si>
    <t xml:space="preserve">R3_sel</t>
  </si>
  <si>
    <t xml:space="preserve">Select a value in the range from 10k to 249k</t>
  </si>
  <si>
    <t xml:space="preserve">kΩ</t>
  </si>
  <si>
    <t xml:space="preserve">R2_cal</t>
  </si>
  <si>
    <t xml:space="preserve">Calculated value of Resistor at UVLO pin</t>
  </si>
  <si>
    <t xml:space="preserve">Power Fail 
(VIN Falling)</t>
  </si>
  <si>
    <t xml:space="preserve">R1_cal</t>
  </si>
  <si>
    <t xml:space="preserve">Calculated value of Resistor at IN pin</t>
  </si>
  <si>
    <t xml:space="preserve">UVLO 
(VIN Rising)</t>
  </si>
  <si>
    <t xml:space="preserve">SELECT THE CLOSEST POSSIBLE RESISTANCE VALUE FOR R1, R2, R3</t>
  </si>
  <si>
    <t xml:space="preserve">OVP
(VIN Rising)</t>
  </si>
  <si>
    <t xml:space="preserve">Selected closest possible value for R3 resistor</t>
  </si>
  <si>
    <t xml:space="preserve">R2_sel</t>
  </si>
  <si>
    <t xml:space="preserve">Selected closest possible value for R2 resistor</t>
  </si>
  <si>
    <t xml:space="preserve">R1_sel</t>
  </si>
  <si>
    <t xml:space="preserve">Selected closest possible value for R1 resistor</t>
  </si>
  <si>
    <t xml:space="preserve">UV_Final</t>
  </si>
  <si>
    <t xml:space="preserve">OV_Final</t>
  </si>
  <si>
    <t xml:space="preserve">Power Fail Detection</t>
  </si>
  <si>
    <t xml:space="preserve">Power Fail Detection Threshold</t>
  </si>
  <si>
    <t xml:space="preserve">I_R123</t>
  </si>
  <si>
    <t xml:space="preserve">Current in R1, R2, R3 Branch</t>
  </si>
  <si>
    <t xml:space="preserve">uA</t>
  </si>
  <si>
    <t xml:space="preserve">Current Limit Calculations</t>
  </si>
  <si>
    <r>
      <rPr>
        <sz val="11"/>
        <color rgb="FF000000"/>
        <rFont val="Calibri"/>
        <family val="2"/>
        <charset val="1"/>
      </rPr>
      <t xml:space="preserve">R</t>
    </r>
    <r>
      <rPr>
        <sz val="7"/>
        <color rgb="FF000000"/>
        <rFont val="Calibri"/>
        <family val="2"/>
        <charset val="1"/>
      </rPr>
      <t xml:space="preserve">LIM</t>
    </r>
    <r>
      <rPr>
        <sz val="11"/>
        <color rgb="FF000000"/>
        <rFont val="Calibri"/>
        <family val="2"/>
        <charset val="1"/>
      </rPr>
      <t xml:space="preserve">_cal</t>
    </r>
  </si>
  <si>
    <t xml:space="preserve">Calculated current limit resistor value</t>
  </si>
  <si>
    <t xml:space="preserve">Inrush Charging 
Current</t>
  </si>
  <si>
    <t xml:space="preserve">SELECT THE CLOSEST POSSIBLE RESISTANCE VALUE FOR RLIM</t>
  </si>
  <si>
    <t xml:space="preserve">Overload Current
Limit</t>
  </si>
  <si>
    <r>
      <rPr>
        <sz val="11"/>
        <color rgb="FF000000"/>
        <rFont val="Calibri"/>
        <family val="2"/>
        <charset val="1"/>
      </rPr>
      <t xml:space="preserve">R</t>
    </r>
    <r>
      <rPr>
        <sz val="7"/>
        <color rgb="FF000000"/>
        <rFont val="Calibri"/>
        <family val="2"/>
        <charset val="1"/>
      </rPr>
      <t xml:space="preserve">LIM</t>
    </r>
  </si>
  <si>
    <t xml:space="preserve">Selected closest possible value for RLIM resistor</t>
  </si>
  <si>
    <t xml:space="preserve">Fastrip Current
Limit</t>
  </si>
  <si>
    <t xml:space="preserve">ILimit_Final</t>
  </si>
  <si>
    <t xml:space="preserve">Final Current Limit Set Point</t>
  </si>
  <si>
    <t xml:space="preserve">I_Fastrip</t>
  </si>
  <si>
    <t xml:space="preserve">Fast-Trip Current Limit to Detect Short Circuit</t>
  </si>
  <si>
    <t xml:space="preserve">dV/dT Capacitor and Start-up Time Calculations</t>
  </si>
  <si>
    <t xml:space="preserve">Tstart_default</t>
  </si>
  <si>
    <t xml:space="preserve">Default start-up time with no external capacitor connected at dVdT pin</t>
  </si>
  <si>
    <t xml:space="preserve">ms</t>
  </si>
  <si>
    <t xml:space="preserve">Tstart_recommended</t>
  </si>
  <si>
    <t xml:space="preserve">Recommended start-up time based on 1 / 10th of load current as capacitive charging current</t>
  </si>
  <si>
    <t xml:space="preserve">Icharge_recommended</t>
  </si>
  <si>
    <t xml:space="preserve">Recommended charging current to charge the load capacitor</t>
  </si>
  <si>
    <t xml:space="preserve">Tstart_req</t>
  </si>
  <si>
    <t xml:space="preserve">Required start-up time</t>
  </si>
  <si>
    <t xml:space="preserve">Icharge_req</t>
  </si>
  <si>
    <t xml:space="preserve">Charging current required to charge the load capacitor</t>
  </si>
  <si>
    <t xml:space="preserve">Cdvdt_cal1</t>
  </si>
  <si>
    <t xml:space="preserve">Calculated dVdT capacitor value based on required start-up time</t>
  </si>
  <si>
    <t xml:space="preserve">Cdvdt_cal2</t>
  </si>
  <si>
    <t xml:space="preserve">Calculated dVdT capacitor value based on required charging current</t>
  </si>
  <si>
    <t xml:space="preserve">SELECT THE CLOSEST POSSIBLE CAPACITANCE VALUE FOR CdVdT</t>
  </si>
  <si>
    <t xml:space="preserve">Cdvdt</t>
  </si>
  <si>
    <t xml:space="preserve">Selected closest possible value for CdV/dT capacitor</t>
  </si>
  <si>
    <t xml:space="preserve">Tstart_Final</t>
  </si>
  <si>
    <t xml:space="preserve">Output Voltage Start-up Time</t>
  </si>
  <si>
    <t xml:space="preserve">Icharge_Final</t>
  </si>
  <si>
    <t xml:space="preserve">Charging Current to Charge Load Capacitance</t>
  </si>
  <si>
    <t xml:space="preserve">Total Power dissipation at Start-up</t>
  </si>
  <si>
    <t xml:space="preserve">Pd_dvdt</t>
  </si>
  <si>
    <t xml:space="preserve">Power dissipation due to load capacitance during start-up</t>
  </si>
  <si>
    <t xml:space="preserve">W</t>
  </si>
  <si>
    <t xml:space="preserve">Pd_Rlstart</t>
  </si>
  <si>
    <t xml:space="preserve">Power dissipation due to load resistance during start-up</t>
  </si>
  <si>
    <t xml:space="preserve">Pd_startup</t>
  </si>
  <si>
    <t xml:space="preserve">Total power dissipation during start-up</t>
  </si>
  <si>
    <t xml:space="preserve">Maximum power dissipation allowed during start-up for glitch-free operation</t>
  </si>
  <si>
    <t xml:space="preserve">Margin</t>
  </si>
  <si>
    <t xml:space="preserve">%</t>
  </si>
  <si>
    <t xml:space="preserve">Is my system start-up glitch-free?</t>
  </si>
  <si>
    <t xml:space="preserve">Calculations for CURRENT MONITOR</t>
  </si>
  <si>
    <t xml:space="preserve">VMON_Max</t>
  </si>
  <si>
    <t xml:space="preserve">Maximum allowable voltage at IMON for Maximum Load Current</t>
  </si>
  <si>
    <t xml:space="preserve">RIMON_cal</t>
  </si>
  <si>
    <t xml:space="preserve">Calculated IMON resistor value</t>
  </si>
  <si>
    <t xml:space="preserve">SELECT THE CLOSEST POSSIBLE RESISTANCE VALUE FOR RIMON</t>
  </si>
  <si>
    <t xml:space="preserve">RIMON_sel</t>
  </si>
  <si>
    <t xml:space="preserve">Selected closest possible value for IMON resistor</t>
  </si>
  <si>
    <t xml:space="preserve">Voltage at IMON for Maximum Load Current</t>
  </si>
  <si>
    <t xml:space="preserve">Steady state Voltage drop &amp; Power dissipation</t>
  </si>
  <si>
    <t xml:space="preserve">Vdrop</t>
  </si>
  <si>
    <r>
      <rPr>
        <sz val="11"/>
        <color rgb="FF000000"/>
        <rFont val="Calibri"/>
        <family val="2"/>
        <charset val="1"/>
      </rPr>
      <t xml:space="preserve">Maximum voltage drop across the device at T</t>
    </r>
    <r>
      <rPr>
        <vertAlign val="subscript"/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Calibri"/>
        <family val="2"/>
        <charset val="1"/>
      </rPr>
      <t xml:space="preserve"> = 25°C</t>
    </r>
  </si>
  <si>
    <t xml:space="preserve">mV</t>
  </si>
  <si>
    <t xml:space="preserve">Pdiss_ss</t>
  </si>
  <si>
    <t xml:space="preserve">Steady state power dissipation with maximum current  at TA = 25°C</t>
  </si>
  <si>
    <t xml:space="preserve">mW</t>
  </si>
  <si>
    <t xml:space="preserve">Internal FET Parameters</t>
  </si>
  <si>
    <t xml:space="preserve">Rds(on)</t>
  </si>
  <si>
    <t xml:space="preserve">FET maximum Rds(on) at 25°C</t>
  </si>
  <si>
    <t xml:space="preserve">mΩ</t>
  </si>
  <si>
    <t xml:space="preserve">Rds(on)_85degC</t>
  </si>
  <si>
    <t xml:space="preserve">FET maximum Rds(on) at 85°C</t>
  </si>
  <si>
    <t xml:space="preserve">Rds(on)_125degC</t>
  </si>
  <si>
    <t xml:space="preserve">FET maximum Rds(on) at 125°C</t>
  </si>
  <si>
    <t xml:space="preserve">Internal References</t>
  </si>
  <si>
    <t xml:space="preserve">V(UVLOR)</t>
  </si>
  <si>
    <t xml:space="preserve">UVLO Threshold Voltage, Rising</t>
  </si>
  <si>
    <t xml:space="preserve">V(UVLOHys)</t>
  </si>
  <si>
    <t xml:space="preserve">UVLO Hysteresis</t>
  </si>
  <si>
    <t xml:space="preserve">V(OVPR)</t>
  </si>
  <si>
    <t xml:space="preserve">Over-Voltage Threshold Voltage, Rising</t>
  </si>
  <si>
    <t xml:space="preserve">I(dVdT)</t>
  </si>
  <si>
    <t xml:space="preserve">dVdT Charging Current</t>
  </si>
  <si>
    <t xml:space="preserve">GAIN(dVdT)</t>
  </si>
  <si>
    <t xml:space="preserve">dVdT to OUT Gain</t>
  </si>
  <si>
    <t xml:space="preserve">TdVdT</t>
  </si>
  <si>
    <t xml:space="preserve">Default Start-up Time with dVdT = Open</t>
  </si>
  <si>
    <t xml:space="preserve">Imon_Gain</t>
  </si>
  <si>
    <t xml:space="preserve">Gain Factor I(IMON):I(OUT)</t>
  </si>
  <si>
    <t xml:space="preserve">uA/A</t>
  </si>
  <si>
    <t xml:space="preserve">Thermal Shutdown Time (ms) Vs. Power Dissipation (W)</t>
  </si>
  <si>
    <t xml:space="preserve">Title of Graph</t>
  </si>
  <si>
    <t xml:space="preserve">Thermal Shutdown Time Vs. Power Dissipation</t>
  </si>
  <si>
    <t xml:space="preserve">Power Dissipation (W)</t>
  </si>
  <si>
    <t xml:space="preserve">TA = -40C</t>
  </si>
  <si>
    <t xml:space="preserve">TA = 25C</t>
  </si>
  <si>
    <t xml:space="preserve">TA = 105C</t>
  </si>
  <si>
    <t xml:space="preserve">TA = 125C</t>
  </si>
  <si>
    <t xml:space="preserve">Lable</t>
  </si>
  <si>
    <t xml:space="preserve">X-Axis </t>
  </si>
  <si>
    <t xml:space="preserve"> Power Dissipation (W)</t>
  </si>
  <si>
    <t xml:space="preserve">Y-Axis</t>
  </si>
  <si>
    <t xml:space="preserve">Thermal Shutdown time (ms)</t>
  </si>
  <si>
    <t xml:space="preserve">Pd (W)</t>
  </si>
  <si>
    <t xml:space="preserve">Tstart-up (ms)</t>
  </si>
  <si>
    <t xml:space="preserve">Maximum Point</t>
  </si>
  <si>
    <t xml:space="preserve">Operating Point</t>
  </si>
  <si>
    <t xml:space="preserve">Standard EIA Decade Resistor Values</t>
  </si>
  <si>
    <t xml:space="preserve">0.5%, 0.25%, 0.1%</t>
  </si>
  <si>
    <t xml:space="preserve">E6</t>
  </si>
  <si>
    <t xml:space="preserve">E12</t>
  </si>
  <si>
    <t xml:space="preserve">E24</t>
  </si>
  <si>
    <t xml:space="preserve">E48</t>
  </si>
  <si>
    <t xml:space="preserve">E96</t>
  </si>
  <si>
    <t xml:space="preserve">E192</t>
  </si>
  <si>
    <t xml:space="preserve">Capacitors Lookup Table</t>
  </si>
  <si>
    <r>
      <rPr>
        <b val="true"/>
        <sz val="8"/>
        <color rgb="FF333333"/>
        <rFont val="Calibri"/>
        <family val="2"/>
        <charset val="1"/>
      </rPr>
      <t xml:space="preserve">µ</t>
    </r>
    <r>
      <rPr>
        <b val="true"/>
        <sz val="8"/>
        <color rgb="FF333333"/>
        <rFont val="Arial"/>
        <family val="2"/>
        <charset val="1"/>
      </rPr>
      <t xml:space="preserve">F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</si>
</sst>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"/>
    <numFmt numFmtId="167" formatCode="0%"/>
    <numFmt numFmtId="168" formatCode="0.0%"/>
    <numFmt numFmtId="169" formatCode="0"/>
    <numFmt numFmtId="170" formatCode="General"/>
    <numFmt numFmtId="171" formatCode="0.000"/>
    <numFmt numFmtId="172" formatCode="0.00%"/>
  </numFmts>
  <fonts count="3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  <font>
      <sz val="12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i val="true"/>
      <sz val="16"/>
      <name val="Calibri"/>
      <family val="2"/>
      <charset val="1"/>
    </font>
    <font>
      <i val="true"/>
      <sz val="11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4"/>
      <name val="Calibri"/>
      <family val="2"/>
      <charset val="1"/>
    </font>
    <font>
      <sz val="12"/>
      <color rgb="FF000000"/>
      <name val="Calibri"/>
      <family val="2"/>
      <charset val="1"/>
    </font>
    <font>
      <sz val="7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6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2"/>
      <name val="Calibri"/>
      <family val="2"/>
      <charset val="1"/>
    </font>
    <font>
      <sz val="10"/>
      <color rgb="FF00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000000"/>
      <name val="Calibri"/>
      <family val="2"/>
    </font>
    <font>
      <b val="true"/>
      <sz val="10"/>
      <name val="Arial"/>
      <family val="2"/>
      <charset val="1"/>
    </font>
    <font>
      <b val="true"/>
      <sz val="14"/>
      <color rgb="FFFF0000"/>
      <name val="Calibri"/>
      <family val="0"/>
    </font>
    <font>
      <b val="true"/>
      <vertAlign val="superscript"/>
      <sz val="14"/>
      <color rgb="FFFF0000"/>
      <name val="Calibri"/>
      <family val="0"/>
    </font>
    <font>
      <b val="true"/>
      <sz val="16"/>
      <color rgb="FF000000"/>
      <name val="Calibri"/>
      <family val="2"/>
    </font>
    <font>
      <b val="true"/>
      <sz val="16"/>
      <color rgb="FF000000"/>
      <name val="Calibri"/>
      <family val="2"/>
      <charset val="1"/>
    </font>
    <font>
      <b val="true"/>
      <sz val="24"/>
      <color rgb="FF333333"/>
      <name val="Calibri"/>
      <family val="2"/>
      <charset val="1"/>
    </font>
    <font>
      <b val="true"/>
      <sz val="8"/>
      <color rgb="FF333333"/>
      <name val="Calibri"/>
      <family val="2"/>
      <charset val="1"/>
    </font>
    <font>
      <b val="true"/>
      <sz val="8"/>
      <color rgb="FF333333"/>
      <name val="Arial"/>
      <family val="2"/>
      <charset val="1"/>
    </font>
    <font>
      <sz val="9"/>
      <color rgb="FF000000"/>
      <name val="Verdana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DDD9C3"/>
        <bgColor rgb="FFD9D9D9"/>
      </patternFill>
    </fill>
    <fill>
      <patternFill patternType="solid">
        <fgColor rgb="FFFFFF99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80FF7F"/>
        <bgColor rgb="FF92D050"/>
      </patternFill>
    </fill>
    <fill>
      <patternFill patternType="solid">
        <fgColor rgb="FF93CDDD"/>
        <bgColor rgb="FF99CCFF"/>
      </patternFill>
    </fill>
    <fill>
      <patternFill patternType="solid">
        <fgColor rgb="FFDBEEF4"/>
        <bgColor rgb="FFDAE7F6"/>
      </patternFill>
    </fill>
    <fill>
      <patternFill patternType="solid">
        <fgColor rgb="FFDAE7F6"/>
        <bgColor rgb="FFDCE6F2"/>
      </patternFill>
    </fill>
    <fill>
      <patternFill patternType="solid">
        <fgColor rgb="FFFDEADA"/>
        <bgColor rgb="FFFFFFCC"/>
      </patternFill>
    </fill>
    <fill>
      <patternFill patternType="solid">
        <fgColor rgb="FFDCE6F2"/>
        <bgColor rgb="FFDAE7F6"/>
      </patternFill>
    </fill>
    <fill>
      <patternFill patternType="solid">
        <fgColor rgb="FF558ED5"/>
        <bgColor rgb="FF4A7EBB"/>
      </patternFill>
    </fill>
    <fill>
      <patternFill patternType="solid">
        <fgColor rgb="FFC6D9F1"/>
        <bgColor rgb="FFD9D9D9"/>
      </patternFill>
    </fill>
    <fill>
      <patternFill patternType="solid">
        <fgColor rgb="FFFFFF00"/>
        <bgColor rgb="FFFFFF99"/>
      </patternFill>
    </fill>
    <fill>
      <patternFill patternType="solid">
        <fgColor rgb="FFFAC090"/>
        <bgColor rgb="FFE6B9B8"/>
      </patternFill>
    </fill>
    <fill>
      <patternFill patternType="solid">
        <fgColor rgb="FFE6B9B8"/>
        <bgColor rgb="FFFAC090"/>
      </patternFill>
    </fill>
    <fill>
      <patternFill patternType="solid">
        <fgColor rgb="FFC4BD97"/>
        <bgColor rgb="FFB7B7B7"/>
      </patternFill>
    </fill>
    <fill>
      <patternFill patternType="solid">
        <fgColor rgb="FFD7E4BD"/>
        <bgColor rgb="FFDDD9C3"/>
      </patternFill>
    </fill>
    <fill>
      <patternFill patternType="solid">
        <fgColor rgb="FFCCC1DA"/>
        <bgColor rgb="FFB7B7B7"/>
      </patternFill>
    </fill>
    <fill>
      <patternFill patternType="solid">
        <fgColor rgb="FFFFFFCC"/>
        <bgColor rgb="FFFDEADA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7" fillId="5" borderId="1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7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9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5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7" fillId="5" borderId="1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7" borderId="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0" fillId="7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7" borderId="1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6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4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3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80FF7F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558ED5"/>
      <rgbColor rgb="FF953735"/>
      <rgbColor rgb="FFFFFFCC"/>
      <rgbColor rgb="FFDBEEF4"/>
      <rgbColor rgb="FF660066"/>
      <rgbColor rgb="FFD9D9D9"/>
      <rgbColor rgb="FF0070C0"/>
      <rgbColor rgb="FFC6D9F1"/>
      <rgbColor rgb="FF000080"/>
      <rgbColor rgb="FFFF00FF"/>
      <rgbColor rgb="FFFDEADA"/>
      <rgbColor rgb="FF00FFFF"/>
      <rgbColor rgb="FF800080"/>
      <rgbColor rgb="FF800000"/>
      <rgbColor rgb="FF008080"/>
      <rgbColor rgb="FF0000FF"/>
      <rgbColor rgb="FF00CCFF"/>
      <rgbColor rgb="FFDAE7F6"/>
      <rgbColor rgb="FFD7E4BD"/>
      <rgbColor rgb="FFFFFF99"/>
      <rgbColor rgb="FF99CCFF"/>
      <rgbColor rgb="FFE6B9B8"/>
      <rgbColor rgb="FFCCC1DA"/>
      <rgbColor rgb="FFFAC090"/>
      <rgbColor rgb="FF4A7EBB"/>
      <rgbColor rgb="FF93CDDD"/>
      <rgbColor rgb="FF92D050"/>
      <rgbColor rgb="FFDDD9C3"/>
      <rgbColor rgb="FFDCE6F2"/>
      <rgbColor rgb="FFFF6600"/>
      <rgbColor rgb="FF604A7B"/>
      <rgbColor rgb="FFC4BD97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VIN Thresholds Programmed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'Calculation Sheet'!$K$16:$K$18</c:f>
              <c:strCache>
                <c:ptCount val="3"/>
                <c:pt idx="0">
                  <c:v>Power Fail 
(VIN Falling)</c:v>
                </c:pt>
                <c:pt idx="1">
                  <c:v>UVLO 
(VIN Rising)</c:v>
                </c:pt>
                <c:pt idx="2">
                  <c:v>OVP
(VIN Rising)</c:v>
                </c:pt>
              </c:strCache>
            </c:strRef>
          </c:cat>
          <c:val>
            <c:numRef>
              <c:f>'Calculation Sheet'!$J$16:$J$18</c:f>
              <c:numCache>
                <c:formatCode>General</c:formatCode>
                <c:ptCount val="3"/>
                <c:pt idx="0">
                  <c:v>7.68993902439024</c:v>
                </c:pt>
                <c:pt idx="1">
                  <c:v>8.31911585365854</c:v>
                </c:pt>
                <c:pt idx="2">
                  <c:v>16.8436419753086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870462"/>
        <c:axId val="6064047"/>
      </c:lineChart>
      <c:catAx>
        <c:axId val="718704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4047"/>
        <c:crosses val="autoZero"/>
        <c:auto val="1"/>
        <c:lblAlgn val="ctr"/>
        <c:lblOffset val="100"/>
        <c:noMultiLvlLbl val="0"/>
      </c:catAx>
      <c:valAx>
        <c:axId val="60640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704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Current Limits Programmed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'Calculation Sheet'!$K$28:$K$30</c:f>
              <c:strCache>
                <c:ptCount val="3"/>
                <c:pt idx="0">
                  <c:v>Inrush Charging 
Current</c:v>
                </c:pt>
                <c:pt idx="1">
                  <c:v>Overload Current
Limit</c:v>
                </c:pt>
                <c:pt idx="2">
                  <c:v>Fastrip Current
Limit</c:v>
                </c:pt>
              </c:strCache>
            </c:strRef>
          </c:cat>
          <c:val>
            <c:numRef>
              <c:f>'Calculation Sheet'!$J$28:$J$30</c:f>
              <c:numCache>
                <c:formatCode>General</c:formatCode>
                <c:ptCount val="3"/>
                <c:pt idx="0">
                  <c:v>0.115761</c:v>
                </c:pt>
                <c:pt idx="1">
                  <c:v>1.1214953271028</c:v>
                </c:pt>
                <c:pt idx="2">
                  <c:v>2.03369158878505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075411"/>
        <c:axId val="31695589"/>
      </c:lineChart>
      <c:catAx>
        <c:axId val="680754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95589"/>
        <c:crosses val="autoZero"/>
        <c:auto val="1"/>
        <c:lblAlgn val="ctr"/>
        <c:lblOffset val="100"/>
        <c:noMultiLvlLbl val="0"/>
      </c:catAx>
      <c:valAx>
        <c:axId val="316955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754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Thermal Shutdown Time Vs. Power Dissipation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'Thermal Shutdown Limit Plot'!$B$2</c:f>
              <c:strCache>
                <c:ptCount val="1"/>
                <c:pt idx="0">
                  <c:v>TA = -40C</c:v>
                </c:pt>
              </c:strCache>
            </c:strRef>
          </c:tx>
          <c:spPr>
            <a:solidFill>
              <a:srgbClr val="0070c0"/>
            </a:solidFill>
            <a:ln w="3816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Plot'!$A$3:$A$25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Plot'!$B$3:$B$25</c:f>
              <c:numCache>
                <c:formatCode>General</c:formatCode>
                <c:ptCount val="23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59170</c:v>
                </c:pt>
                <c:pt idx="8">
                  <c:v>7000</c:v>
                </c:pt>
                <c:pt idx="9">
                  <c:v>3275</c:v>
                </c:pt>
                <c:pt idx="10">
                  <c:v>1172</c:v>
                </c:pt>
                <c:pt idx="11">
                  <c:v>602.6</c:v>
                </c:pt>
                <c:pt idx="12">
                  <c:v>367.2</c:v>
                </c:pt>
                <c:pt idx="13">
                  <c:v>245.9</c:v>
                </c:pt>
                <c:pt idx="14">
                  <c:v>174</c:v>
                </c:pt>
                <c:pt idx="15">
                  <c:v>85.9</c:v>
                </c:pt>
                <c:pt idx="16">
                  <c:v>48</c:v>
                </c:pt>
                <c:pt idx="17">
                  <c:v>28.44</c:v>
                </c:pt>
                <c:pt idx="18">
                  <c:v>18.94</c:v>
                </c:pt>
                <c:pt idx="19">
                  <c:v>9</c:v>
                </c:pt>
                <c:pt idx="20">
                  <c:v>6.72</c:v>
                </c:pt>
                <c:pt idx="21">
                  <c:v>3.73</c:v>
                </c:pt>
                <c:pt idx="22">
                  <c:v>2.155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'Thermal Shutdown Limit Plot'!$C$2</c:f>
              <c:strCache>
                <c:ptCount val="1"/>
                <c:pt idx="0">
                  <c:v>TA = 25C</c:v>
                </c:pt>
              </c:strCache>
            </c:strRef>
          </c:tx>
          <c:spPr>
            <a:solidFill>
              <a:srgbClr val="00b050"/>
            </a:solidFill>
            <a:ln w="381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Plot'!$A$3:$A$25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Plot'!$C$3:$C$25</c:f>
              <c:numCache>
                <c:formatCode>General</c:formatCode>
                <c:ptCount val="23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72350</c:v>
                </c:pt>
                <c:pt idx="4">
                  <c:v>13880</c:v>
                </c:pt>
                <c:pt idx="5">
                  <c:v>4315</c:v>
                </c:pt>
                <c:pt idx="6">
                  <c:v>2088</c:v>
                </c:pt>
                <c:pt idx="7">
                  <c:v>1147</c:v>
                </c:pt>
                <c:pt idx="8">
                  <c:v>716</c:v>
                </c:pt>
                <c:pt idx="9">
                  <c:v>472.76</c:v>
                </c:pt>
                <c:pt idx="10">
                  <c:v>255.7</c:v>
                </c:pt>
                <c:pt idx="11">
                  <c:v>154.3</c:v>
                </c:pt>
                <c:pt idx="12">
                  <c:v>100</c:v>
                </c:pt>
                <c:pt idx="13">
                  <c:v>68.115</c:v>
                </c:pt>
                <c:pt idx="14">
                  <c:v>49.142</c:v>
                </c:pt>
                <c:pt idx="15">
                  <c:v>24.4</c:v>
                </c:pt>
                <c:pt idx="16">
                  <c:v>13.79</c:v>
                </c:pt>
                <c:pt idx="17">
                  <c:v>8.643</c:v>
                </c:pt>
                <c:pt idx="18">
                  <c:v>6.07</c:v>
                </c:pt>
                <c:pt idx="19">
                  <c:v>3.52</c:v>
                </c:pt>
                <c:pt idx="20">
                  <c:v>2.39</c:v>
                </c:pt>
                <c:pt idx="21">
                  <c:v>1.792</c:v>
                </c:pt>
                <c:pt idx="22">
                  <c:v>1.22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'Thermal Shutdown Limit Plot'!$D$2</c:f>
              <c:strCache>
                <c:ptCount val="1"/>
                <c:pt idx="0">
                  <c:v>TA = 85C</c:v>
                </c:pt>
              </c:strCache>
            </c:strRef>
          </c:tx>
          <c:spPr>
            <a:solidFill>
              <a:srgbClr val="604a7b"/>
            </a:solidFill>
            <a:ln w="3816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Plot'!$A$3:$A$25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Plot'!$D$3:$D$25</c:f>
              <c:numCache>
                <c:formatCode>General</c:formatCode>
                <c:ptCount val="23"/>
                <c:pt idx="0">
                  <c:v>100000</c:v>
                </c:pt>
                <c:pt idx="1">
                  <c:v>100000</c:v>
                </c:pt>
                <c:pt idx="2">
                  <c:v>34590</c:v>
                </c:pt>
                <c:pt idx="3">
                  <c:v>2810</c:v>
                </c:pt>
                <c:pt idx="4">
                  <c:v>1497</c:v>
                </c:pt>
                <c:pt idx="5">
                  <c:v>638.6</c:v>
                </c:pt>
                <c:pt idx="6">
                  <c:v>345</c:v>
                </c:pt>
                <c:pt idx="7">
                  <c:v>214</c:v>
                </c:pt>
                <c:pt idx="8">
                  <c:v>143.43</c:v>
                </c:pt>
                <c:pt idx="9">
                  <c:v>101</c:v>
                </c:pt>
                <c:pt idx="10">
                  <c:v>55.33</c:v>
                </c:pt>
                <c:pt idx="11">
                  <c:v>33.78</c:v>
                </c:pt>
                <c:pt idx="12">
                  <c:v>21.41</c:v>
                </c:pt>
                <c:pt idx="13">
                  <c:v>14.39</c:v>
                </c:pt>
                <c:pt idx="14">
                  <c:v>10.52</c:v>
                </c:pt>
                <c:pt idx="15">
                  <c:v>5.69</c:v>
                </c:pt>
                <c:pt idx="16">
                  <c:v>3.76</c:v>
                </c:pt>
                <c:pt idx="17">
                  <c:v>2.8</c:v>
                </c:pt>
                <c:pt idx="18">
                  <c:v>2.16</c:v>
                </c:pt>
                <c:pt idx="19">
                  <c:v>1.52</c:v>
                </c:pt>
                <c:pt idx="20">
                  <c:v>1.178</c:v>
                </c:pt>
                <c:pt idx="21">
                  <c:v>0.986</c:v>
                </c:pt>
                <c:pt idx="22">
                  <c:v>0.694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'Thermal Shutdown Limit Plot'!$E$2</c:f>
              <c:strCache>
                <c:ptCount val="1"/>
                <c:pt idx="0">
                  <c:v>TA = 105C</c:v>
                </c:pt>
              </c:strCache>
            </c:strRef>
          </c:tx>
          <c:spPr>
            <a:solidFill>
              <a:srgbClr val="953735"/>
            </a:solidFill>
            <a:ln w="38160">
              <a:solidFill>
                <a:srgbClr val="9537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Plot'!$A$3:$A$25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Plot'!$E$3:$E$25</c:f>
              <c:numCache>
                <c:formatCode>General</c:formatCode>
                <c:ptCount val="23"/>
                <c:pt idx="0">
                  <c:v>100000</c:v>
                </c:pt>
                <c:pt idx="1">
                  <c:v>100000</c:v>
                </c:pt>
                <c:pt idx="2">
                  <c:v>2870</c:v>
                </c:pt>
                <c:pt idx="3">
                  <c:v>681.6</c:v>
                </c:pt>
                <c:pt idx="4">
                  <c:v>400</c:v>
                </c:pt>
                <c:pt idx="5">
                  <c:v>250</c:v>
                </c:pt>
                <c:pt idx="6">
                  <c:v>142.8</c:v>
                </c:pt>
                <c:pt idx="7">
                  <c:v>90.8</c:v>
                </c:pt>
                <c:pt idx="8">
                  <c:v>61.84</c:v>
                </c:pt>
                <c:pt idx="9">
                  <c:v>42.64</c:v>
                </c:pt>
                <c:pt idx="10">
                  <c:v>22.8</c:v>
                </c:pt>
                <c:pt idx="11">
                  <c:v>13.92</c:v>
                </c:pt>
                <c:pt idx="12">
                  <c:v>9.24</c:v>
                </c:pt>
                <c:pt idx="13">
                  <c:v>6.68</c:v>
                </c:pt>
                <c:pt idx="14">
                  <c:v>5.218</c:v>
                </c:pt>
                <c:pt idx="15">
                  <c:v>3.25</c:v>
                </c:pt>
                <c:pt idx="16">
                  <c:v>2.338</c:v>
                </c:pt>
                <c:pt idx="17">
                  <c:v>1.81</c:v>
                </c:pt>
                <c:pt idx="18">
                  <c:v>1.49</c:v>
                </c:pt>
                <c:pt idx="19">
                  <c:v>1.094</c:v>
                </c:pt>
                <c:pt idx="20">
                  <c:v>0.882</c:v>
                </c:pt>
                <c:pt idx="21">
                  <c:v>0.719</c:v>
                </c:pt>
                <c:pt idx="22">
                  <c:v>0.5067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'Thermal Shutdown Limit Plot'!$F$2</c:f>
              <c:strCache>
                <c:ptCount val="1"/>
                <c:pt idx="0">
                  <c:v>TA = 125C</c:v>
                </c:pt>
              </c:strCache>
            </c:strRef>
          </c:tx>
          <c:spPr>
            <a:solidFill>
              <a:srgbClr val="ff0000"/>
            </a:solidFill>
            <a:ln w="381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Plot'!$A$3:$A$25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Plot'!$F$3:$F$25</c:f>
              <c:numCache>
                <c:formatCode>General</c:formatCode>
                <c:ptCount val="23"/>
                <c:pt idx="0">
                  <c:v>100000</c:v>
                </c:pt>
                <c:pt idx="1">
                  <c:v>3640</c:v>
                </c:pt>
                <c:pt idx="2">
                  <c:v>482</c:v>
                </c:pt>
                <c:pt idx="3">
                  <c:v>174</c:v>
                </c:pt>
                <c:pt idx="4">
                  <c:v>133.7</c:v>
                </c:pt>
                <c:pt idx="5">
                  <c:v>69.76</c:v>
                </c:pt>
                <c:pt idx="6">
                  <c:v>39.84</c:v>
                </c:pt>
                <c:pt idx="7">
                  <c:v>25.92</c:v>
                </c:pt>
                <c:pt idx="8">
                  <c:v>17.44</c:v>
                </c:pt>
                <c:pt idx="9">
                  <c:v>12.44</c:v>
                </c:pt>
                <c:pt idx="10">
                  <c:v>7.4</c:v>
                </c:pt>
                <c:pt idx="11">
                  <c:v>4.98</c:v>
                </c:pt>
                <c:pt idx="12">
                  <c:v>3.75</c:v>
                </c:pt>
                <c:pt idx="13">
                  <c:v>2.97</c:v>
                </c:pt>
                <c:pt idx="14">
                  <c:v>2.49</c:v>
                </c:pt>
                <c:pt idx="15">
                  <c:v>1.746</c:v>
                </c:pt>
                <c:pt idx="16">
                  <c:v>1.346</c:v>
                </c:pt>
                <c:pt idx="17">
                  <c:v>1.09</c:v>
                </c:pt>
                <c:pt idx="18">
                  <c:v>0.926</c:v>
                </c:pt>
                <c:pt idx="19">
                  <c:v>0.71</c:v>
                </c:pt>
                <c:pt idx="20">
                  <c:v>0.574</c:v>
                </c:pt>
                <c:pt idx="21">
                  <c:v>0.4748</c:v>
                </c:pt>
                <c:pt idx="22">
                  <c:v>0.3535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'Thermal Shutdown Limit Plot'!$B$28</c:f>
              <c:strCache>
                <c:ptCount val="1"/>
                <c:pt idx="0">
                  <c:v>Maximum Point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ymbol val="diamond"/>
            <c:size val="14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Plot'!$C$28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'Thermal Shutdown Limit Plot'!$D$28</c:f>
              <c:numCache>
                <c:formatCode>General</c:formatCode>
                <c:ptCount val="1"/>
                <c:pt idx="0">
                  <c:v>45.6112162127141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'Thermal Shutdown Limit Plot'!$B$29</c:f>
              <c:strCache>
                <c:ptCount val="1"/>
                <c:pt idx="0">
                  <c:v>Operating Point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triangle"/>
            <c:size val="14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Plot'!$C$29</c:f>
              <c:numCache>
                <c:formatCode>General</c:formatCode>
                <c:ptCount val="1"/>
                <c:pt idx="0">
                  <c:v>2.34831022222222</c:v>
                </c:pt>
              </c:numCache>
            </c:numRef>
          </c:xVal>
          <c:yVal>
            <c:numRef>
              <c:f>'Thermal Shutdown Limit Plot'!$D$29</c:f>
              <c:numCache>
                <c:formatCode>General</c:formatCode>
                <c:ptCount val="1"/>
                <c:pt idx="0">
                  <c:v>45.6112162127141</c:v>
                </c:pt>
              </c:numCache>
            </c:numRef>
          </c:yVal>
          <c:smooth val="1"/>
        </c:ser>
        <c:axId val="90273934"/>
        <c:axId val="74104305"/>
      </c:scatterChart>
      <c:valAx>
        <c:axId val="90273934"/>
        <c:scaling>
          <c:logBase val="10"/>
          <c:orientation val="minMax"/>
          <c:max val="100"/>
          <c:min val="1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1" lang="en-US" sz="16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600" spc="-1" strike="noStrike">
                    <a:solidFill>
                      <a:srgbClr val="000000"/>
                    </a:solidFill>
                    <a:latin typeface="Calibri"/>
                  </a:rPr>
                  <a:t>Power dissipation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04305"/>
        <c:crosses val="autoZero"/>
        <c:crossBetween val="midCat"/>
      </c:valAx>
      <c:valAx>
        <c:axId val="74104305"/>
        <c:scaling>
          <c:logBase val="10"/>
          <c:orientation val="minMax"/>
          <c:max val="100000"/>
          <c:min val="0.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en-US" sz="16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600" spc="-1" strike="noStrike">
                    <a:solidFill>
                      <a:srgbClr val="000000"/>
                    </a:solidFill>
                    <a:latin typeface="Calibri"/>
                  </a:rPr>
                  <a:t>Thermal Shutdown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in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73934"/>
        <c:crosses val="autoZero"/>
        <c:crossBetween val="midCat"/>
        <c:majorUnit val="1"/>
        <c:minorUnit val="9"/>
      </c:valAx>
      <c:spPr>
        <a:noFill/>
        <a:ln w="31680">
          <a:solidFill>
            <a:srgbClr val="000000"/>
          </a:solidFill>
          <a:round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73440</xdr:colOff>
      <xdr:row>14</xdr:row>
      <xdr:rowOff>84960</xdr:rowOff>
    </xdr:from>
    <xdr:to>
      <xdr:col>11</xdr:col>
      <xdr:colOff>1697760</xdr:colOff>
      <xdr:row>25</xdr:row>
      <xdr:rowOff>206640</xdr:rowOff>
    </xdr:to>
    <xdr:graphicFrame>
      <xdr:nvGraphicFramePr>
        <xdr:cNvPr id="0" name="Chart 2"/>
        <xdr:cNvGraphicFramePr/>
      </xdr:nvGraphicFramePr>
      <xdr:xfrm>
        <a:off x="11386080" y="3437640"/>
        <a:ext cx="4947840" cy="259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79920</xdr:colOff>
      <xdr:row>26</xdr:row>
      <xdr:rowOff>208440</xdr:rowOff>
    </xdr:from>
    <xdr:to>
      <xdr:col>11</xdr:col>
      <xdr:colOff>1654200</xdr:colOff>
      <xdr:row>37</xdr:row>
      <xdr:rowOff>184680</xdr:rowOff>
    </xdr:to>
    <xdr:graphicFrame>
      <xdr:nvGraphicFramePr>
        <xdr:cNvPr id="1" name="Chart 5"/>
        <xdr:cNvGraphicFramePr/>
      </xdr:nvGraphicFramePr>
      <xdr:xfrm>
        <a:off x="11392560" y="6266520"/>
        <a:ext cx="4897800" cy="267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43560</xdr:colOff>
      <xdr:row>0</xdr:row>
      <xdr:rowOff>0</xdr:rowOff>
    </xdr:from>
    <xdr:to>
      <xdr:col>11</xdr:col>
      <xdr:colOff>2721240</xdr:colOff>
      <xdr:row>13</xdr:row>
      <xdr:rowOff>20880</xdr:rowOff>
    </xdr:to>
    <xdr:pic>
      <xdr:nvPicPr>
        <xdr:cNvPr id="2" name="Picture 8" descr=""/>
        <xdr:cNvPicPr/>
      </xdr:nvPicPr>
      <xdr:blipFill>
        <a:blip r:embed="rId3"/>
        <a:stretch/>
      </xdr:blipFill>
      <xdr:spPr>
        <a:xfrm>
          <a:off x="10713600" y="0"/>
          <a:ext cx="6643800" cy="3144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43560</xdr:colOff>
      <xdr:row>30</xdr:row>
      <xdr:rowOff>118440</xdr:rowOff>
    </xdr:from>
    <xdr:to>
      <xdr:col>19</xdr:col>
      <xdr:colOff>24120</xdr:colOff>
      <xdr:row>33</xdr:row>
      <xdr:rowOff>61920</xdr:rowOff>
    </xdr:to>
    <xdr:sp>
      <xdr:nvSpPr>
        <xdr:cNvPr id="3" name="TextBox 1"/>
        <xdr:cNvSpPr/>
      </xdr:nvSpPr>
      <xdr:spPr>
        <a:xfrm>
          <a:off x="7507440" y="5566680"/>
          <a:ext cx="8029080" cy="486360"/>
        </a:xfrm>
        <a:prstGeom prst="rect">
          <a:avLst/>
        </a:prstGeom>
        <a:solidFill>
          <a:schemeClr val="lt1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US" sz="1400" spc="-1" strike="noStrike">
              <a:solidFill>
                <a:srgbClr val="ff0000"/>
              </a:solidFill>
              <a:latin typeface="Calibri"/>
            </a:rPr>
            <a:t>Taken on 2-Layer board, 2oz.(0.08-mm thick) with RTN plane area: 1cm</a:t>
          </a:r>
          <a:r>
            <a:rPr b="1" lang="en-US" sz="1400" spc="-1" strike="noStrike" baseline="30000">
              <a:solidFill>
                <a:srgbClr val="ff0000"/>
              </a:solidFill>
              <a:latin typeface="Calibri"/>
            </a:rPr>
            <a:t>2 </a:t>
          </a:r>
          <a:r>
            <a:rPr b="1" lang="en-US" sz="1400" spc="-1" strike="noStrike">
              <a:solidFill>
                <a:srgbClr val="ff0000"/>
              </a:solidFill>
              <a:latin typeface="Calibri"/>
            </a:rPr>
            <a:t>(Top) and 4.6cm</a:t>
          </a:r>
          <a:r>
            <a:rPr b="1" lang="en-US" sz="1400" spc="-1" strike="noStrike" baseline="30000">
              <a:solidFill>
                <a:srgbClr val="ff0000"/>
              </a:solidFill>
              <a:latin typeface="Calibri"/>
            </a:rPr>
            <a:t>2</a:t>
          </a:r>
          <a:r>
            <a:rPr b="1" lang="en-US" sz="1400" spc="-1" strike="noStrike">
              <a:solidFill>
                <a:srgbClr val="ff0000"/>
              </a:solidFill>
              <a:latin typeface="Calibri"/>
            </a:rPr>
            <a:t> (bottom)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43560</xdr:colOff>
      <xdr:row>5</xdr:row>
      <xdr:rowOff>5400</xdr:rowOff>
    </xdr:from>
    <xdr:to>
      <xdr:col>21</xdr:col>
      <xdr:colOff>173880</xdr:colOff>
      <xdr:row>30</xdr:row>
      <xdr:rowOff>119520</xdr:rowOff>
    </xdr:to>
    <xdr:graphicFrame>
      <xdr:nvGraphicFramePr>
        <xdr:cNvPr id="4" name="Chart 6"/>
        <xdr:cNvGraphicFramePr/>
      </xdr:nvGraphicFramePr>
      <xdr:xfrm>
        <a:off x="7507440" y="929160"/>
        <a:ext cx="9464040" cy="463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M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C61" activeCellId="0" sqref="C61:D61"/>
    </sheetView>
  </sheetViews>
  <sheetFormatPr defaultColWidth="9.12109375" defaultRowHeight="18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2" width="28.99"/>
    <col collapsed="false" customWidth="true" hidden="false" outlineLevel="0" max="3" min="3" style="2" width="86.66"/>
    <col collapsed="false" customWidth="true" hidden="false" outlineLevel="0" max="4" min="4" style="3" width="14.34"/>
    <col collapsed="false" customWidth="true" hidden="false" outlineLevel="0" max="5" min="5" style="4" width="8.89"/>
    <col collapsed="false" customWidth="true" hidden="false" outlineLevel="0" max="6" min="6" style="4" width="10.33"/>
    <col collapsed="false" customWidth="true" hidden="true" outlineLevel="0" max="7" min="7" style="2" width="8.21"/>
    <col collapsed="false" customWidth="false" hidden="false" outlineLevel="0" max="9" min="8" style="1" width="9.11"/>
    <col collapsed="false" customWidth="true" hidden="false" outlineLevel="0" max="10" min="10" style="1" width="20.66"/>
    <col collapsed="false" customWidth="true" hidden="false" outlineLevel="0" max="11" min="11" style="1" width="17.33"/>
    <col collapsed="false" customWidth="true" hidden="false" outlineLevel="0" max="12" min="12" style="5" width="50.22"/>
    <col collapsed="false" customWidth="false" hidden="true" outlineLevel="0" max="13" min="13" style="1" width="9.11"/>
    <col collapsed="false" customWidth="true" hidden="false" outlineLevel="0" max="14" min="14" style="1" width="26.33"/>
    <col collapsed="false" customWidth="false" hidden="false" outlineLevel="0" max="1024" min="15" style="1" width="9.11"/>
  </cols>
  <sheetData>
    <row r="1" customFormat="false" ht="18" hidden="false" customHeight="true" outlineLevel="0" collapsed="false">
      <c r="B1" s="6" t="s">
        <v>0</v>
      </c>
      <c r="C1" s="7"/>
      <c r="D1" s="8"/>
      <c r="E1" s="9"/>
      <c r="F1" s="9"/>
    </row>
    <row r="2" customFormat="false" ht="18" hidden="false" customHeight="true" outlineLevel="0" collapsed="false">
      <c r="B2" s="10" t="s">
        <v>1</v>
      </c>
      <c r="C2" s="11" t="s">
        <v>2</v>
      </c>
      <c r="D2" s="12" t="s">
        <v>3</v>
      </c>
      <c r="E2" s="9"/>
      <c r="F2" s="9"/>
    </row>
    <row r="3" customFormat="false" ht="30" hidden="false" customHeight="true" outlineLevel="0" collapsed="false">
      <c r="B3" s="13"/>
      <c r="C3" s="14" t="s">
        <v>4</v>
      </c>
      <c r="D3" s="8"/>
      <c r="E3" s="9"/>
      <c r="F3" s="9"/>
    </row>
    <row r="4" customFormat="false" ht="18" hidden="false" customHeight="true" outlineLevel="0" collapsed="false">
      <c r="B4" s="15" t="s">
        <v>5</v>
      </c>
      <c r="C4" s="15" t="s">
        <v>6</v>
      </c>
      <c r="D4" s="16" t="s">
        <v>7</v>
      </c>
      <c r="E4" s="17" t="s">
        <v>8</v>
      </c>
      <c r="F4" s="18" t="s">
        <v>9</v>
      </c>
    </row>
    <row r="5" customFormat="false" ht="18" hidden="false" customHeight="true" outlineLevel="0" collapsed="false">
      <c r="B5" s="19" t="s">
        <v>10</v>
      </c>
      <c r="C5" s="19" t="s">
        <v>11</v>
      </c>
      <c r="D5" s="20" t="n">
        <v>14</v>
      </c>
      <c r="E5" s="21" t="s">
        <v>12</v>
      </c>
      <c r="F5" s="22"/>
    </row>
    <row r="6" customFormat="false" ht="18" hidden="false" customHeight="true" outlineLevel="0" collapsed="false">
      <c r="B6" s="19" t="s">
        <v>13</v>
      </c>
      <c r="C6" s="19" t="s">
        <v>14</v>
      </c>
      <c r="D6" s="23" t="n">
        <v>8</v>
      </c>
      <c r="E6" s="21" t="s">
        <v>12</v>
      </c>
      <c r="F6" s="22"/>
    </row>
    <row r="7" customFormat="false" ht="18" hidden="false" customHeight="true" outlineLevel="0" collapsed="false">
      <c r="B7" s="19" t="s">
        <v>15</v>
      </c>
      <c r="C7" s="19" t="s">
        <v>16</v>
      </c>
      <c r="D7" s="23" t="n">
        <v>16</v>
      </c>
      <c r="E7" s="21" t="s">
        <v>12</v>
      </c>
      <c r="F7" s="22"/>
    </row>
    <row r="8" customFormat="false" ht="18" hidden="false" customHeight="true" outlineLevel="0" collapsed="false">
      <c r="B8" s="19" t="s">
        <v>17</v>
      </c>
      <c r="C8" s="19" t="s">
        <v>18</v>
      </c>
      <c r="D8" s="20" t="n">
        <v>330</v>
      </c>
      <c r="E8" s="21" t="s">
        <v>19</v>
      </c>
      <c r="F8" s="24" t="n">
        <v>0.1</v>
      </c>
    </row>
    <row r="9" customFormat="false" ht="18" hidden="false" customHeight="true" outlineLevel="0" collapsed="false">
      <c r="B9" s="19" t="s">
        <v>20</v>
      </c>
      <c r="C9" s="19" t="s">
        <v>21</v>
      </c>
      <c r="D9" s="25" t="s">
        <v>22</v>
      </c>
      <c r="E9" s="21" t="s">
        <v>23</v>
      </c>
      <c r="F9" s="22"/>
    </row>
    <row r="10" customFormat="false" ht="18" hidden="false" customHeight="true" outlineLevel="0" collapsed="false">
      <c r="B10" s="19" t="s">
        <v>24</v>
      </c>
      <c r="C10" s="19" t="s">
        <v>25</v>
      </c>
      <c r="D10" s="20" t="n">
        <v>30</v>
      </c>
      <c r="E10" s="21" t="s">
        <v>26</v>
      </c>
      <c r="F10" s="22"/>
    </row>
    <row r="11" customFormat="false" ht="18" hidden="false" customHeight="true" outlineLevel="0" collapsed="false">
      <c r="B11" s="19" t="s">
        <v>27</v>
      </c>
      <c r="C11" s="19" t="s">
        <v>28</v>
      </c>
      <c r="D11" s="26" t="n">
        <v>1</v>
      </c>
      <c r="E11" s="21" t="s">
        <v>29</v>
      </c>
      <c r="F11" s="22"/>
    </row>
    <row r="12" customFormat="false" ht="18" hidden="false" customHeight="true" outlineLevel="0" collapsed="false">
      <c r="B12" s="27" t="s">
        <v>30</v>
      </c>
      <c r="C12" s="28" t="s">
        <v>31</v>
      </c>
      <c r="D12" s="29" t="n">
        <f aca="false">MIN(1.1*Imax,2.23)</f>
        <v>1.1</v>
      </c>
      <c r="E12" s="30" t="s">
        <v>29</v>
      </c>
      <c r="F12" s="22"/>
    </row>
    <row r="13" customFormat="false" ht="18" hidden="false" customHeight="true" outlineLevel="0" collapsed="false">
      <c r="B13" s="13"/>
      <c r="C13" s="13"/>
      <c r="D13" s="8"/>
      <c r="E13" s="9"/>
      <c r="F13" s="9"/>
    </row>
    <row r="14" customFormat="false" ht="18" hidden="false" customHeight="true" outlineLevel="0" collapsed="false">
      <c r="B14" s="31" t="s">
        <v>32</v>
      </c>
      <c r="C14" s="32"/>
      <c r="D14" s="33"/>
      <c r="E14" s="34"/>
      <c r="F14" s="34"/>
    </row>
    <row r="15" customFormat="false" ht="15" hidden="false" customHeight="false" outlineLevel="0" collapsed="false">
      <c r="B15" s="19" t="s">
        <v>33</v>
      </c>
      <c r="C15" s="19" t="s">
        <v>34</v>
      </c>
      <c r="D15" s="20" t="n">
        <v>33</v>
      </c>
      <c r="E15" s="21" t="s">
        <v>35</v>
      </c>
      <c r="F15" s="35" t="n">
        <v>0.01</v>
      </c>
      <c r="M15" s="1" t="n">
        <f aca="false">IF(D15&lt;10, D15*100, IF(AND(D15&gt;=10, D15&lt;100),D15*10,IF(AND(D15&gt;=100, D15&lt;1000), D15, IF(D15&gt;=1000, D15/10))))</f>
        <v>330</v>
      </c>
    </row>
    <row r="16" customFormat="false" ht="18" hidden="false" customHeight="true" outlineLevel="0" collapsed="false">
      <c r="B16" s="36" t="s">
        <v>36</v>
      </c>
      <c r="C16" s="36" t="s">
        <v>37</v>
      </c>
      <c r="D16" s="37" t="n">
        <f aca="false">D15*((UVLOref*OVset/(UVset*OVPref))-1)</f>
        <v>33</v>
      </c>
      <c r="E16" s="38" t="s">
        <v>35</v>
      </c>
      <c r="F16" s="39"/>
      <c r="J16" s="5" t="n">
        <f aca="false">D24</f>
        <v>7.68993902439024</v>
      </c>
      <c r="K16" s="40" t="s">
        <v>38</v>
      </c>
      <c r="M16" s="1" t="n">
        <f aca="false">IF(D16&lt;10, D16*100, IF(AND(D16&gt;=10, D16&lt;100),D16*10,IF(AND(D16&gt;=100, D16&lt;1000), D16, IF(D16&gt;=1000, D16/10))))</f>
        <v>330</v>
      </c>
    </row>
    <row r="17" customFormat="false" ht="18" hidden="false" customHeight="true" outlineLevel="0" collapsed="false">
      <c r="B17" s="36" t="s">
        <v>39</v>
      </c>
      <c r="C17" s="36" t="s">
        <v>40</v>
      </c>
      <c r="D17" s="37" t="n">
        <f aca="false">D15*(OVset/OVPref)*(1-(UVLOref/UVset))</f>
        <v>377.697478991597</v>
      </c>
      <c r="E17" s="38" t="s">
        <v>35</v>
      </c>
      <c r="F17" s="39"/>
      <c r="J17" s="5" t="n">
        <f aca="false">D22</f>
        <v>8.31911585365854</v>
      </c>
      <c r="K17" s="40" t="s">
        <v>41</v>
      </c>
      <c r="M17" s="1" t="n">
        <f aca="false">IF(D17&lt;10, D17*100, IF(AND(D17&gt;=10, D17&lt;100),D17*10,IF(AND(D17&gt;=100, D17&lt;1000), D17, IF(D17&gt;=1000, D17/10))))</f>
        <v>377.697478991597</v>
      </c>
    </row>
    <row r="18" customFormat="false" ht="18" hidden="false" customHeight="true" outlineLevel="0" collapsed="false">
      <c r="B18" s="41" t="s">
        <v>42</v>
      </c>
      <c r="C18" s="41"/>
      <c r="D18" s="42"/>
      <c r="E18" s="43"/>
      <c r="F18" s="44"/>
      <c r="J18" s="5" t="n">
        <f aca="false">D23</f>
        <v>16.8436419753086</v>
      </c>
      <c r="K18" s="40" t="s">
        <v>43</v>
      </c>
    </row>
    <row r="19" customFormat="false" ht="18" hidden="false" customHeight="true" outlineLevel="0" collapsed="false">
      <c r="B19" s="45" t="s">
        <v>33</v>
      </c>
      <c r="C19" s="45" t="s">
        <v>44</v>
      </c>
      <c r="D19" s="29" t="n">
        <f aca="false">G19</f>
        <v>32.4</v>
      </c>
      <c r="E19" s="38" t="s">
        <v>35</v>
      </c>
      <c r="F19" s="46" t="n">
        <f aca="false">F15</f>
        <v>0.01</v>
      </c>
      <c r="G19" s="2" t="n">
        <f aca="false">M19*D15/M15</f>
        <v>32.4</v>
      </c>
      <c r="M19" s="47" t="n">
        <f aca="false">INDEX('Res EIA Tables'!E$5:E$196,MATCH(M15,'Res EIA Tables'!E$5:E$196))</f>
        <v>324</v>
      </c>
    </row>
    <row r="20" customFormat="false" ht="18" hidden="false" customHeight="true" outlineLevel="0" collapsed="false">
      <c r="B20" s="45" t="s">
        <v>45</v>
      </c>
      <c r="C20" s="45" t="s">
        <v>46</v>
      </c>
      <c r="D20" s="29" t="n">
        <f aca="false">G20</f>
        <v>33.2</v>
      </c>
      <c r="E20" s="38" t="s">
        <v>35</v>
      </c>
      <c r="F20" s="46" t="n">
        <f aca="false">F15</f>
        <v>0.01</v>
      </c>
      <c r="G20" s="2" t="n">
        <f aca="false">M20*D16/M16</f>
        <v>33.2</v>
      </c>
      <c r="M20" s="47" t="n">
        <f aca="false">INDEX('Res EIA Tables'!E$5:E$196,2+MATCH(M16,'Res EIA Tables'!E$5:E$196))</f>
        <v>332</v>
      </c>
    </row>
    <row r="21" customFormat="false" ht="18" hidden="false" customHeight="true" outlineLevel="0" collapsed="false">
      <c r="B21" s="45" t="s">
        <v>47</v>
      </c>
      <c r="C21" s="45" t="s">
        <v>48</v>
      </c>
      <c r="D21" s="29" t="n">
        <v>393</v>
      </c>
      <c r="E21" s="38" t="s">
        <v>35</v>
      </c>
      <c r="F21" s="46" t="n">
        <f aca="false">F15</f>
        <v>0.01</v>
      </c>
      <c r="G21" s="48" t="n">
        <f aca="false">M21*D17/M17</f>
        <v>383</v>
      </c>
      <c r="M21" s="47" t="n">
        <f aca="false">INDEX('Res EIA Tables'!E$5:E$196,2+MATCH(M17,'Res EIA Tables'!E$5:E$196))</f>
        <v>383</v>
      </c>
    </row>
    <row r="22" s="49" customFormat="true" ht="18" hidden="false" customHeight="true" outlineLevel="0" collapsed="false">
      <c r="B22" s="50" t="s">
        <v>49</v>
      </c>
      <c r="C22" s="50" t="str">
        <f aca="false">C6</f>
        <v>Undervoltage Lockout Threshold</v>
      </c>
      <c r="D22" s="51" t="n">
        <f aca="false">UVLOref*((ROVP+RUVLO+RIN)/(ROVP+RUVLO))</f>
        <v>8.31911585365854</v>
      </c>
      <c r="E22" s="52" t="s">
        <v>12</v>
      </c>
      <c r="F22" s="53" t="n">
        <f aca="false">SQRT(F76^2+F19^2+F20^2+F21^2)</f>
        <v>0.0337786915081091</v>
      </c>
      <c r="G22" s="54"/>
      <c r="L22" s="55"/>
    </row>
    <row r="23" s="49" customFormat="true" ht="18" hidden="false" customHeight="true" outlineLevel="0" collapsed="false">
      <c r="B23" s="50" t="s">
        <v>50</v>
      </c>
      <c r="C23" s="50" t="str">
        <f aca="false">C7</f>
        <v>Over Voltage Cut-Off Threshold</v>
      </c>
      <c r="D23" s="51" t="n">
        <f aca="false">OVPref*((ROVP+RUVLO+RIN)/ROVP)</f>
        <v>16.8436419753086</v>
      </c>
      <c r="E23" s="52" t="s">
        <v>12</v>
      </c>
      <c r="F23" s="53" t="n">
        <f aca="false">SQRT(F78^2+F19^2+F20^2+F21^2)</f>
        <v>0.0337786915081091</v>
      </c>
      <c r="G23" s="54"/>
      <c r="L23" s="55"/>
    </row>
    <row r="24" s="56" customFormat="true" ht="18" hidden="false" customHeight="true" outlineLevel="0" collapsed="false">
      <c r="B24" s="50" t="s">
        <v>51</v>
      </c>
      <c r="C24" s="50" t="s">
        <v>52</v>
      </c>
      <c r="D24" s="51" t="n">
        <f aca="false">(UVLOref-UVLOhys)*((ROVP+RUVLO+RIN)/(ROVP+RUVLO))</f>
        <v>7.68993902439024</v>
      </c>
      <c r="E24" s="52" t="s">
        <v>12</v>
      </c>
      <c r="F24" s="53" t="n">
        <f aca="false">F22</f>
        <v>0.0337786915081091</v>
      </c>
      <c r="G24" s="57"/>
      <c r="L24" s="58"/>
    </row>
    <row r="25" customFormat="false" ht="18" hidden="false" customHeight="true" outlineLevel="0" collapsed="false">
      <c r="B25" s="59" t="s">
        <v>53</v>
      </c>
      <c r="C25" s="59" t="s">
        <v>54</v>
      </c>
      <c r="D25" s="60" t="n">
        <f aca="false">Vinmax*1000/(ROVP+RUVLO+RIN)</f>
        <v>30.5276929786306</v>
      </c>
      <c r="E25" s="38" t="s">
        <v>55</v>
      </c>
      <c r="F25" s="39"/>
    </row>
    <row r="26" customFormat="false" ht="18" hidden="false" customHeight="true" outlineLevel="0" collapsed="false">
      <c r="B26" s="13"/>
      <c r="C26" s="13"/>
      <c r="D26" s="8"/>
      <c r="E26" s="9"/>
      <c r="F26" s="9"/>
    </row>
    <row r="27" customFormat="false" ht="28.5" hidden="false" customHeight="true" outlineLevel="0" collapsed="false">
      <c r="B27" s="61" t="s">
        <v>56</v>
      </c>
      <c r="C27" s="61"/>
      <c r="D27" s="33"/>
      <c r="E27" s="34"/>
      <c r="F27" s="34"/>
    </row>
    <row r="28" customFormat="false" ht="18" hidden="false" customHeight="true" outlineLevel="0" collapsed="false">
      <c r="B28" s="36" t="s">
        <v>57</v>
      </c>
      <c r="C28" s="36" t="s">
        <v>58</v>
      </c>
      <c r="D28" s="60" t="n">
        <f aca="false">MAX((12/(Ilimit)),5.23)</f>
        <v>10.9090909090909</v>
      </c>
      <c r="E28" s="38" t="s">
        <v>35</v>
      </c>
      <c r="F28" s="62" t="n">
        <v>0.01</v>
      </c>
      <c r="J28" s="5" t="n">
        <f aca="false">Icharge</f>
        <v>0.115761</v>
      </c>
      <c r="K28" s="40" t="s">
        <v>59</v>
      </c>
      <c r="M28" s="1" t="n">
        <f aca="false">IF(D28&lt;10, D28*100, IF(AND(D28&gt;=10, D28&lt;100),D28*10,IF(AND(D28&gt;=100, D28&lt;1000), D28, IF(D28&gt;=1000, D28/10))))</f>
        <v>109.090909090909</v>
      </c>
    </row>
    <row r="29" customFormat="false" ht="18" hidden="false" customHeight="true" outlineLevel="0" collapsed="false">
      <c r="B29" s="41" t="s">
        <v>60</v>
      </c>
      <c r="C29" s="41"/>
      <c r="D29" s="63"/>
      <c r="E29" s="21"/>
      <c r="F29" s="22"/>
      <c r="J29" s="5" t="n">
        <f aca="false">Ilimit_final</f>
        <v>1.1214953271028</v>
      </c>
      <c r="K29" s="40" t="s">
        <v>61</v>
      </c>
    </row>
    <row r="30" customFormat="false" ht="18" hidden="false" customHeight="true" outlineLevel="0" collapsed="false">
      <c r="B30" s="45" t="s">
        <v>62</v>
      </c>
      <c r="C30" s="45" t="s">
        <v>63</v>
      </c>
      <c r="D30" s="29" t="n">
        <f aca="false">G30</f>
        <v>10.7</v>
      </c>
      <c r="E30" s="38" t="s">
        <v>35</v>
      </c>
      <c r="F30" s="46" t="n">
        <f aca="false">F28</f>
        <v>0.01</v>
      </c>
      <c r="G30" s="48" t="n">
        <f aca="false">M30*D28/M28</f>
        <v>10.7</v>
      </c>
      <c r="J30" s="5" t="n">
        <f aca="false">D32</f>
        <v>2.03369158878505</v>
      </c>
      <c r="K30" s="40" t="s">
        <v>64</v>
      </c>
      <c r="M30" s="1" t="n">
        <f aca="false">INDEX('Res EIA Tables'!E$5:E$196,MATCH(M28,'Res EIA Tables'!E$5:E$196))</f>
        <v>107</v>
      </c>
    </row>
    <row r="31" s="49" customFormat="true" ht="18" hidden="false" customHeight="true" outlineLevel="0" collapsed="false">
      <c r="B31" s="64" t="s">
        <v>65</v>
      </c>
      <c r="C31" s="64" t="s">
        <v>66</v>
      </c>
      <c r="D31" s="51" t="n">
        <f aca="false">12/Rilim</f>
        <v>1.1214953271028</v>
      </c>
      <c r="E31" s="65" t="s">
        <v>29</v>
      </c>
      <c r="F31" s="66" t="n">
        <f aca="false">SQRT(M31^2+F30^2)</f>
        <v>0.0509901951359279</v>
      </c>
      <c r="G31" s="54"/>
      <c r="J31" s="5"/>
      <c r="K31" s="40"/>
      <c r="L31" s="55"/>
      <c r="M31" s="67" t="n">
        <f aca="false">IF(Imax&lt;0.3, 0.12,0.05)</f>
        <v>0.05</v>
      </c>
    </row>
    <row r="32" customFormat="false" ht="18" hidden="false" customHeight="true" outlineLevel="0" collapsed="false">
      <c r="B32" s="64" t="s">
        <v>67</v>
      </c>
      <c r="C32" s="64" t="s">
        <v>68</v>
      </c>
      <c r="D32" s="51" t="n">
        <f aca="false">Ilimit_final*1.8+0.015</f>
        <v>2.03369158878505</v>
      </c>
      <c r="E32" s="68" t="s">
        <v>29</v>
      </c>
      <c r="F32" s="66" t="n">
        <f aca="false">SQRT(F31^2+0.1^2)</f>
        <v>0.112249721603218</v>
      </c>
    </row>
    <row r="33" customFormat="false" ht="18" hidden="false" customHeight="true" outlineLevel="0" collapsed="false">
      <c r="B33" s="13"/>
      <c r="C33" s="13"/>
      <c r="D33" s="8"/>
      <c r="E33" s="9"/>
      <c r="F33" s="9"/>
    </row>
    <row r="34" customFormat="false" ht="9" hidden="false" customHeight="true" outlineLevel="0" collapsed="false">
      <c r="B34" s="13"/>
      <c r="C34" s="13"/>
      <c r="D34" s="8"/>
      <c r="E34" s="9"/>
      <c r="F34" s="9"/>
    </row>
    <row r="35" customFormat="false" ht="30.75" hidden="false" customHeight="true" outlineLevel="0" collapsed="false">
      <c r="B35" s="69" t="s">
        <v>69</v>
      </c>
      <c r="C35" s="69"/>
      <c r="D35" s="33"/>
      <c r="E35" s="34"/>
      <c r="F35" s="34"/>
    </row>
    <row r="36" customFormat="false" ht="18" hidden="false" customHeight="true" outlineLevel="0" collapsed="false">
      <c r="B36" s="70" t="s">
        <v>5</v>
      </c>
      <c r="C36" s="70" t="s">
        <v>6</v>
      </c>
      <c r="D36" s="71" t="s">
        <v>7</v>
      </c>
      <c r="E36" s="72" t="s">
        <v>8</v>
      </c>
      <c r="F36" s="72" t="s">
        <v>9</v>
      </c>
    </row>
    <row r="37" customFormat="false" ht="18" hidden="false" customHeight="true" outlineLevel="0" collapsed="false">
      <c r="B37" s="36" t="s">
        <v>70</v>
      </c>
      <c r="C37" s="36" t="s">
        <v>71</v>
      </c>
      <c r="D37" s="73" t="n">
        <f aca="false">1.6*Vinmax/24</f>
        <v>0.933333333333333</v>
      </c>
      <c r="E37" s="38" t="s">
        <v>72</v>
      </c>
      <c r="F37" s="39"/>
    </row>
    <row r="38" customFormat="false" ht="18" hidden="false" customHeight="true" outlineLevel="0" collapsed="false">
      <c r="B38" s="36" t="s">
        <v>73</v>
      </c>
      <c r="C38" s="36" t="s">
        <v>74</v>
      </c>
      <c r="D38" s="74" t="n">
        <f aca="false">(Cout*10^-3*OVset)/(Imax*0.1)</f>
        <v>52.8</v>
      </c>
      <c r="E38" s="38" t="s">
        <v>72</v>
      </c>
      <c r="F38" s="39"/>
    </row>
    <row r="39" customFormat="false" ht="18" hidden="false" customHeight="true" outlineLevel="0" collapsed="false">
      <c r="B39" s="36" t="s">
        <v>75</v>
      </c>
      <c r="C39" s="36" t="s">
        <v>76</v>
      </c>
      <c r="D39" s="75" t="n">
        <f aca="false">Imax/10</f>
        <v>0.1</v>
      </c>
      <c r="E39" s="38" t="s">
        <v>29</v>
      </c>
      <c r="F39" s="39"/>
    </row>
    <row r="40" customFormat="false" ht="18" hidden="false" customHeight="true" outlineLevel="0" collapsed="false">
      <c r="B40" s="45" t="s">
        <v>77</v>
      </c>
      <c r="C40" s="45" t="s">
        <v>78</v>
      </c>
      <c r="D40" s="76" t="n">
        <f aca="false">D38</f>
        <v>52.8</v>
      </c>
      <c r="E40" s="38" t="s">
        <v>72</v>
      </c>
      <c r="F40" s="39"/>
    </row>
    <row r="41" customFormat="false" ht="18" hidden="false" customHeight="true" outlineLevel="0" collapsed="false">
      <c r="B41" s="45" t="s">
        <v>79</v>
      </c>
      <c r="C41" s="45" t="s">
        <v>80</v>
      </c>
      <c r="D41" s="29" t="n">
        <f aca="false">D39</f>
        <v>0.1</v>
      </c>
      <c r="E41" s="38" t="s">
        <v>29</v>
      </c>
      <c r="F41" s="39"/>
    </row>
    <row r="42" customFormat="false" ht="18" hidden="false" customHeight="true" outlineLevel="0" collapsed="false">
      <c r="B42" s="36" t="s">
        <v>81</v>
      </c>
      <c r="C42" s="36" t="s">
        <v>82</v>
      </c>
      <c r="D42" s="77" t="n">
        <f aca="false">MAX(((Tstart_req*10^-3*Gain_dvdt*I_dvdt)/OVset),0.01)</f>
        <v>0.3820113</v>
      </c>
      <c r="E42" s="38" t="s">
        <v>19</v>
      </c>
      <c r="F42" s="62" t="n">
        <f aca="false">M42</f>
        <v>0.1</v>
      </c>
      <c r="M42" s="78" t="n">
        <f aca="false">IF(Cdvdt_cal1&lt;=0.1,0.05,0.1)</f>
        <v>0.1</v>
      </c>
    </row>
    <row r="43" customFormat="false" ht="18" hidden="false" customHeight="true" outlineLevel="0" collapsed="false">
      <c r="B43" s="36" t="s">
        <v>83</v>
      </c>
      <c r="C43" s="36" t="s">
        <v>84</v>
      </c>
      <c r="D43" s="77" t="n">
        <f aca="false">MAX(((I_dvdt*Gain_dvdt*Cout*10^-6)/Icharge_req),0.01)</f>
        <v>0.3820113</v>
      </c>
      <c r="E43" s="38" t="s">
        <v>19</v>
      </c>
      <c r="F43" s="62" t="n">
        <v>0.05</v>
      </c>
      <c r="M43" s="78" t="n">
        <f aca="false">IF(Cdvdt_cal2&lt;=0.1,0.05,0.1)</f>
        <v>0.1</v>
      </c>
    </row>
    <row r="44" customFormat="false" ht="18" hidden="false" customHeight="true" outlineLevel="0" collapsed="false">
      <c r="B44" s="41" t="s">
        <v>85</v>
      </c>
      <c r="C44" s="41"/>
      <c r="D44" s="42"/>
      <c r="E44" s="38"/>
      <c r="F44" s="39"/>
    </row>
    <row r="45" customFormat="false" ht="18" hidden="false" customHeight="true" outlineLevel="0" collapsed="false">
      <c r="B45" s="45" t="s">
        <v>86</v>
      </c>
      <c r="C45" s="45" t="s">
        <v>87</v>
      </c>
      <c r="D45" s="79" t="n">
        <f aca="false">G45</f>
        <v>0.33</v>
      </c>
      <c r="E45" s="38" t="s">
        <v>19</v>
      </c>
      <c r="F45" s="80" t="n">
        <f aca="false">F42</f>
        <v>0.1</v>
      </c>
      <c r="G45" s="48" t="n">
        <f aca="false">INDEX('Cap Tables'!A3:A27,MATCH(MAX(Cdvdt_cal1,Cdvdt_cal2),'Cap Tables'!A3:A27))</f>
        <v>0.33</v>
      </c>
    </row>
    <row r="46" s="49" customFormat="true" ht="18" hidden="false" customHeight="true" outlineLevel="0" collapsed="false">
      <c r="B46" s="64" t="s">
        <v>88</v>
      </c>
      <c r="C46" s="64" t="s">
        <v>89</v>
      </c>
      <c r="D46" s="81" t="n">
        <f aca="false">((Cdvdt*10^3*OVset)/(I_dvdt*Gain_dvdt))</f>
        <v>45.6112162127141</v>
      </c>
      <c r="E46" s="65" t="s">
        <v>72</v>
      </c>
      <c r="F46" s="66" t="n">
        <f aca="false">SQRT(F79^2+F45^2+F80^2)</f>
        <v>0.200312256240101</v>
      </c>
      <c r="G46" s="54"/>
      <c r="L46" s="55"/>
    </row>
    <row r="47" s="49" customFormat="true" ht="18" hidden="false" customHeight="true" outlineLevel="0" collapsed="false">
      <c r="B47" s="64" t="s">
        <v>90</v>
      </c>
      <c r="C47" s="64" t="s">
        <v>91</v>
      </c>
      <c r="D47" s="51" t="n">
        <f aca="false">(Cout*10^-6*OVset)/(Tdvdt*10^-3)</f>
        <v>0.115761</v>
      </c>
      <c r="E47" s="65" t="s">
        <v>29</v>
      </c>
      <c r="F47" s="39"/>
      <c r="G47" s="54"/>
      <c r="L47" s="55"/>
    </row>
    <row r="48" customFormat="false" ht="18" hidden="false" customHeight="true" outlineLevel="0" collapsed="false">
      <c r="B48" s="13"/>
      <c r="C48" s="13"/>
      <c r="D48" s="8"/>
      <c r="E48" s="9"/>
      <c r="F48" s="9"/>
    </row>
    <row r="49" customFormat="false" ht="18" hidden="false" customHeight="true" outlineLevel="0" collapsed="false">
      <c r="B49" s="61" t="s">
        <v>92</v>
      </c>
      <c r="C49" s="61"/>
      <c r="D49" s="61"/>
      <c r="E49" s="61"/>
      <c r="F49" s="34"/>
    </row>
    <row r="50" customFormat="false" ht="18" hidden="false" customHeight="true" outlineLevel="0" collapsed="false">
      <c r="B50" s="36" t="s">
        <v>93</v>
      </c>
      <c r="C50" s="36" t="s">
        <v>94</v>
      </c>
      <c r="D50" s="60" t="n">
        <f aca="false">0.5*OVset*Icharge</f>
        <v>0.926088</v>
      </c>
      <c r="E50" s="21" t="s">
        <v>95</v>
      </c>
      <c r="F50" s="22"/>
    </row>
    <row r="51" customFormat="false" ht="18" hidden="false" customHeight="true" outlineLevel="0" collapsed="false">
      <c r="B51" s="36" t="s">
        <v>96</v>
      </c>
      <c r="C51" s="36" t="s">
        <v>97</v>
      </c>
      <c r="D51" s="60" t="n">
        <f aca="false">(1/6)*(OVset^2)/RLstart</f>
        <v>1.42222222222222</v>
      </c>
      <c r="E51" s="38" t="s">
        <v>95</v>
      </c>
      <c r="F51" s="39"/>
    </row>
    <row r="52" customFormat="false" ht="18" hidden="false" customHeight="true" outlineLevel="0" collapsed="false">
      <c r="B52" s="36" t="s">
        <v>98</v>
      </c>
      <c r="C52" s="36" t="s">
        <v>99</v>
      </c>
      <c r="D52" s="60" t="n">
        <f aca="false">D50+D51</f>
        <v>2.34831022222222</v>
      </c>
      <c r="E52" s="38" t="s">
        <v>95</v>
      </c>
      <c r="F52" s="39"/>
    </row>
    <row r="53" customFormat="false" ht="15" hidden="false" customHeight="false" outlineLevel="0" collapsed="false">
      <c r="B53" s="36"/>
      <c r="C53" s="36" t="s">
        <v>100</v>
      </c>
      <c r="D53" s="60" t="n">
        <f aca="false">INDEX('Thermal Shutdown Limit Plot'!A3:A25,IF(Ta="TA = 25C", (MATCH(Tdvdt,'Thermal Shutdown Limit Plot'!C3:C25,-1)), IF(Ta="TA = 85C", (MATCH(Tdvdt, 'Thermal Shutdown Limit Plot'!D3:D25,-1)), IF(Ta="TA = 105C", (MATCH(Tdvdt,'Thermal Shutdown Limit Plot'!E3:E25,-1)),IF(Ta="TA = 125C", (MATCH(Tdvdt,'Thermal Shutdown Limit Plot'!F3:F25,-1)),0)))))</f>
        <v>12</v>
      </c>
      <c r="E53" s="38" t="s">
        <v>95</v>
      </c>
      <c r="F53" s="39"/>
    </row>
    <row r="54" customFormat="false" ht="15" hidden="false" customHeight="false" outlineLevel="0" collapsed="false">
      <c r="B54" s="36"/>
      <c r="C54" s="36" t="s">
        <v>101</v>
      </c>
      <c r="D54" s="82" t="n">
        <f aca="false">(D53-D52)*100/D52</f>
        <v>411.005738783708</v>
      </c>
      <c r="E54" s="38" t="s">
        <v>102</v>
      </c>
      <c r="F54" s="39"/>
    </row>
    <row r="55" customFormat="false" ht="15" hidden="false" customHeight="false" outlineLevel="0" collapsed="false">
      <c r="B55" s="36"/>
      <c r="C55" s="83" t="s">
        <v>103</v>
      </c>
      <c r="D55" s="84" t="str">
        <f aca="false">IF(D52&lt;D53,"YES","NO")</f>
        <v>YES</v>
      </c>
      <c r="E55" s="38"/>
      <c r="F55" s="39"/>
    </row>
    <row r="56" customFormat="false" ht="18" hidden="false" customHeight="true" outlineLevel="0" collapsed="false">
      <c r="B56" s="13"/>
      <c r="C56" s="13"/>
      <c r="D56" s="8"/>
      <c r="E56" s="9"/>
      <c r="F56" s="9"/>
    </row>
    <row r="57" customFormat="false" ht="21.75" hidden="false" customHeight="true" outlineLevel="0" collapsed="false">
      <c r="B57" s="61" t="s">
        <v>104</v>
      </c>
      <c r="C57" s="61"/>
      <c r="D57" s="61"/>
      <c r="E57" s="61"/>
      <c r="F57" s="85"/>
      <c r="G57" s="86"/>
    </row>
    <row r="58" customFormat="false" ht="18" hidden="false" customHeight="true" outlineLevel="0" collapsed="false">
      <c r="B58" s="19" t="s">
        <v>105</v>
      </c>
      <c r="C58" s="19" t="s">
        <v>106</v>
      </c>
      <c r="D58" s="87" t="n">
        <v>2.2</v>
      </c>
      <c r="E58" s="38" t="s">
        <v>12</v>
      </c>
      <c r="F58" s="22"/>
      <c r="G58" s="88"/>
    </row>
    <row r="59" customFormat="false" ht="18" hidden="false" customHeight="true" outlineLevel="0" collapsed="false">
      <c r="B59" s="36" t="s">
        <v>107</v>
      </c>
      <c r="C59" s="36" t="s">
        <v>108</v>
      </c>
      <c r="D59" s="60" t="n">
        <f aca="false">MIN((D58*1000)/(Ilimit*Gain_IMON), (MIN(4,UVset-1.5)*1000/(Gain_IMON*Ilimit_final)))</f>
        <v>25.5102040816327</v>
      </c>
      <c r="E59" s="38" t="s">
        <v>35</v>
      </c>
      <c r="F59" s="62" t="n">
        <v>0.01</v>
      </c>
      <c r="M59" s="1" t="n">
        <f aca="false">IF(D59&lt;10, D59*100, IF(AND(D59&gt;=10, D59&lt;100),D59*10,IF(AND(D59&gt;=100, D59&lt;1000), D59, IF(D59&gt;=1000, D59/10))))</f>
        <v>255.102040816327</v>
      </c>
    </row>
    <row r="60" customFormat="false" ht="18" hidden="false" customHeight="true" outlineLevel="0" collapsed="false">
      <c r="B60" s="41" t="s">
        <v>109</v>
      </c>
      <c r="C60" s="41"/>
      <c r="D60" s="63"/>
      <c r="E60" s="21"/>
      <c r="F60" s="22"/>
    </row>
    <row r="61" customFormat="false" ht="18" hidden="false" customHeight="true" outlineLevel="0" collapsed="false">
      <c r="B61" s="45" t="s">
        <v>110</v>
      </c>
      <c r="C61" s="45" t="s">
        <v>111</v>
      </c>
      <c r="D61" s="29" t="n">
        <f aca="false">G61</f>
        <v>26.1</v>
      </c>
      <c r="E61" s="38" t="s">
        <v>35</v>
      </c>
      <c r="F61" s="46" t="n">
        <f aca="false">F59</f>
        <v>0.01</v>
      </c>
      <c r="G61" s="2" t="n">
        <f aca="false">M61*D59/M59</f>
        <v>26.1</v>
      </c>
      <c r="M61" s="47" t="n">
        <f aca="false">INDEX('Res EIA Tables'!E$5:E$196,2+MATCH(M59,'Res EIA Tables'!E$5:E$196))</f>
        <v>261</v>
      </c>
    </row>
    <row r="62" s="49" customFormat="true" ht="18" hidden="false" customHeight="true" outlineLevel="0" collapsed="false">
      <c r="B62" s="50" t="s">
        <v>105</v>
      </c>
      <c r="C62" s="50" t="s">
        <v>112</v>
      </c>
      <c r="D62" s="51" t="n">
        <f aca="false">(Ilimit_final*Gain_IMON*RIMON_sel*0.001)</f>
        <v>2.29484859813084</v>
      </c>
      <c r="E62" s="65" t="s">
        <v>12</v>
      </c>
      <c r="F62" s="66" t="n">
        <f aca="false">SQRT(M31^2+F82^2+F61^2)</f>
        <v>0.098264947972306</v>
      </c>
      <c r="G62" s="54"/>
      <c r="L62" s="55"/>
    </row>
    <row r="63" customFormat="false" ht="18" hidden="false" customHeight="true" outlineLevel="0" collapsed="false">
      <c r="B63" s="13"/>
      <c r="C63" s="13"/>
      <c r="D63" s="8"/>
      <c r="E63" s="9"/>
      <c r="F63" s="9"/>
    </row>
    <row r="64" customFormat="false" ht="20.25" hidden="false" customHeight="true" outlineLevel="0" collapsed="false">
      <c r="B64" s="61" t="s">
        <v>113</v>
      </c>
      <c r="C64" s="61"/>
      <c r="D64" s="61"/>
      <c r="E64" s="61"/>
      <c r="F64" s="34"/>
    </row>
    <row r="65" customFormat="false" ht="18" hidden="false" customHeight="true" outlineLevel="0" collapsed="false">
      <c r="B65" s="70" t="s">
        <v>5</v>
      </c>
      <c r="C65" s="70" t="s">
        <v>6</v>
      </c>
      <c r="D65" s="71" t="s">
        <v>7</v>
      </c>
      <c r="E65" s="72" t="s">
        <v>8</v>
      </c>
      <c r="F65" s="72" t="s">
        <v>9</v>
      </c>
    </row>
    <row r="66" customFormat="false" ht="18" hidden="false" customHeight="true" outlineLevel="0" collapsed="false">
      <c r="B66" s="36" t="s">
        <v>114</v>
      </c>
      <c r="C66" s="36" t="s">
        <v>115</v>
      </c>
      <c r="D66" s="60" t="n">
        <f aca="false">Imax*Rdson_25deg</f>
        <v>160</v>
      </c>
      <c r="E66" s="21" t="s">
        <v>116</v>
      </c>
      <c r="F66" s="22"/>
    </row>
    <row r="67" customFormat="false" ht="18" hidden="false" customHeight="true" outlineLevel="0" collapsed="false">
      <c r="B67" s="36" t="s">
        <v>117</v>
      </c>
      <c r="C67" s="36" t="s">
        <v>118</v>
      </c>
      <c r="D67" s="60" t="n">
        <f aca="false">Imax^2*Rdson_25deg</f>
        <v>160</v>
      </c>
      <c r="E67" s="21" t="s">
        <v>119</v>
      </c>
      <c r="F67" s="22"/>
    </row>
    <row r="68" customFormat="false" ht="18" hidden="false" customHeight="true" outlineLevel="0" collapsed="false">
      <c r="B68" s="13"/>
      <c r="C68" s="13"/>
      <c r="D68" s="8"/>
      <c r="E68" s="9"/>
      <c r="F68" s="9"/>
    </row>
    <row r="69" customFormat="false" ht="18" hidden="false" customHeight="true" outlineLevel="0" collapsed="false">
      <c r="B69" s="89" t="s">
        <v>120</v>
      </c>
      <c r="C69" s="13"/>
      <c r="D69" s="8"/>
      <c r="E69" s="9"/>
      <c r="F69" s="9"/>
    </row>
    <row r="70" customFormat="false" ht="18" hidden="false" customHeight="true" outlineLevel="0" collapsed="false">
      <c r="B70" s="90" t="s">
        <v>5</v>
      </c>
      <c r="C70" s="90" t="s">
        <v>6</v>
      </c>
      <c r="D70" s="91" t="s">
        <v>7</v>
      </c>
      <c r="E70" s="92" t="s">
        <v>8</v>
      </c>
      <c r="F70" s="92" t="s">
        <v>9</v>
      </c>
    </row>
    <row r="71" customFormat="false" ht="18" hidden="false" customHeight="true" outlineLevel="0" collapsed="false">
      <c r="B71" s="59" t="s">
        <v>121</v>
      </c>
      <c r="C71" s="59" t="s">
        <v>122</v>
      </c>
      <c r="D71" s="93" t="n">
        <v>160</v>
      </c>
      <c r="E71" s="21" t="s">
        <v>123</v>
      </c>
      <c r="F71" s="22"/>
    </row>
    <row r="72" customFormat="false" ht="18" hidden="false" customHeight="true" outlineLevel="0" collapsed="false">
      <c r="B72" s="59" t="s">
        <v>124</v>
      </c>
      <c r="C72" s="59" t="s">
        <v>125</v>
      </c>
      <c r="D72" s="93" t="n">
        <v>205</v>
      </c>
      <c r="E72" s="21" t="s">
        <v>123</v>
      </c>
      <c r="F72" s="22"/>
    </row>
    <row r="73" customFormat="false" ht="18" hidden="false" customHeight="true" outlineLevel="0" collapsed="false">
      <c r="B73" s="59" t="s">
        <v>126</v>
      </c>
      <c r="C73" s="59" t="s">
        <v>127</v>
      </c>
      <c r="D73" s="93" t="n">
        <v>250</v>
      </c>
      <c r="E73" s="21" t="s">
        <v>123</v>
      </c>
      <c r="F73" s="22"/>
    </row>
    <row r="74" customFormat="false" ht="18" hidden="false" customHeight="true" outlineLevel="0" collapsed="false">
      <c r="B74" s="13"/>
      <c r="C74" s="13"/>
      <c r="D74" s="8"/>
      <c r="E74" s="94"/>
      <c r="F74" s="94"/>
    </row>
    <row r="75" customFormat="false" ht="18" hidden="false" customHeight="true" outlineLevel="0" collapsed="false">
      <c r="B75" s="89" t="s">
        <v>128</v>
      </c>
      <c r="C75" s="13"/>
      <c r="D75" s="8"/>
      <c r="E75" s="94"/>
      <c r="F75" s="94"/>
    </row>
    <row r="76" customFormat="false" ht="18" hidden="false" customHeight="true" outlineLevel="0" collapsed="false">
      <c r="B76" s="95" t="s">
        <v>129</v>
      </c>
      <c r="C76" s="96" t="s">
        <v>130</v>
      </c>
      <c r="D76" s="97" t="n">
        <v>1.19</v>
      </c>
      <c r="E76" s="98" t="s">
        <v>12</v>
      </c>
      <c r="F76" s="99" t="n">
        <v>0.029</v>
      </c>
    </row>
    <row r="77" customFormat="false" ht="18" hidden="false" customHeight="true" outlineLevel="0" collapsed="false">
      <c r="B77" s="100" t="s">
        <v>131</v>
      </c>
      <c r="C77" s="59" t="s">
        <v>132</v>
      </c>
      <c r="D77" s="10" t="n">
        <v>0.09</v>
      </c>
      <c r="E77" s="21" t="s">
        <v>12</v>
      </c>
      <c r="F77" s="101"/>
    </row>
    <row r="78" customFormat="false" ht="18" hidden="false" customHeight="true" outlineLevel="0" collapsed="false">
      <c r="B78" s="100" t="s">
        <v>133</v>
      </c>
      <c r="C78" s="102" t="s">
        <v>134</v>
      </c>
      <c r="D78" s="10" t="n">
        <v>1.19</v>
      </c>
      <c r="E78" s="21" t="s">
        <v>12</v>
      </c>
      <c r="F78" s="101" t="n">
        <v>0.029</v>
      </c>
    </row>
    <row r="79" customFormat="false" ht="18" hidden="false" customHeight="true" outlineLevel="0" collapsed="false">
      <c r="B79" s="100" t="s">
        <v>135</v>
      </c>
      <c r="C79" s="102" t="s">
        <v>136</v>
      </c>
      <c r="D79" s="10" t="n">
        <v>4.7</v>
      </c>
      <c r="E79" s="21" t="s">
        <v>55</v>
      </c>
      <c r="F79" s="101" t="n">
        <v>0.17</v>
      </c>
    </row>
    <row r="80" customFormat="false" ht="18" hidden="false" customHeight="true" outlineLevel="0" collapsed="false">
      <c r="B80" s="100" t="s">
        <v>137</v>
      </c>
      <c r="C80" s="102" t="s">
        <v>138</v>
      </c>
      <c r="D80" s="10" t="n">
        <v>24.63</v>
      </c>
      <c r="E80" s="21"/>
      <c r="F80" s="101" t="n">
        <v>0.035</v>
      </c>
    </row>
    <row r="81" customFormat="false" ht="18" hidden="false" customHeight="true" outlineLevel="0" collapsed="false">
      <c r="B81" s="100" t="s">
        <v>139</v>
      </c>
      <c r="C81" s="59" t="s">
        <v>140</v>
      </c>
      <c r="D81" s="10" t="n">
        <v>1.6</v>
      </c>
      <c r="E81" s="21" t="s">
        <v>72</v>
      </c>
      <c r="F81" s="101"/>
    </row>
    <row r="82" customFormat="false" ht="18" hidden="false" customHeight="true" outlineLevel="0" collapsed="false">
      <c r="B82" s="103" t="s">
        <v>141</v>
      </c>
      <c r="C82" s="104" t="s">
        <v>142</v>
      </c>
      <c r="D82" s="105" t="n">
        <v>78.4</v>
      </c>
      <c r="E82" s="106" t="s">
        <v>143</v>
      </c>
      <c r="F82" s="107" t="n">
        <v>0.084</v>
      </c>
    </row>
  </sheetData>
  <sheetProtection sheet="true" password="8553" objects="true" scenarios="true"/>
  <protectedRanges>
    <protectedRange name="Range1" sqref="F8 F15 D5:D12 F19:F21 D15 D30 F30 D40:D41 D45 F45 D19:D21 D61 F61 D58"/>
  </protectedRanges>
  <mergeCells count="5">
    <mergeCell ref="B27:C27"/>
    <mergeCell ref="B35:C35"/>
    <mergeCell ref="B49:E49"/>
    <mergeCell ref="B57:E57"/>
    <mergeCell ref="B64:E64"/>
  </mergeCells>
  <conditionalFormatting sqref="D55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dataValidations count="24">
    <dataValidation allowBlank="false" error="Enter a value in the range from 0.01A to 2.23A" errorStyle="stop" errorTitle="Error" operator="between" showDropDown="false" showErrorMessage="true" showInputMessage="false" sqref="D41" type="decimal">
      <formula1>0.01</formula1>
      <formula2>2.23</formula2>
    </dataValidation>
    <dataValidation allowBlank="true" error="Please enter a value less than RIMON_max;" errorStyle="stop" errorTitle="Error (Re-Enter)" operator="between" prompt="The resistance should be less than RIMON_max" promptTitle="Restriction" showDropDown="false" showErrorMessage="false" showInputMessage="false" sqref="D59" type="none">
      <formula1>0</formula1>
      <formula2>0</formula2>
    </dataValidation>
    <dataValidation allowBlank="false" errorStyle="warning" operator="between" showDropDown="false" showErrorMessage="false" showInputMessage="false" sqref="D62" type="none">
      <formula1>0</formula1>
      <formula2>0</formula2>
    </dataValidation>
    <dataValidation allowBlank="false" error="Enter a value in the range from 4.2V to 55V" errorStyle="stop" errorTitle="Error" operator="between" showDropDown="false" showErrorMessage="true" showInputMessage="false" sqref="D6" type="decimal">
      <formula1>4.2</formula1>
      <formula2>55</formula2>
    </dataValidation>
    <dataValidation allowBlank="false" error="Enter a value greater than UVset and less than 55V" errorStyle="stop" errorTitle="Error" operator="between" showDropDown="false" showErrorMessage="true" showInputMessage="false" sqref="D7" type="custom">
      <formula1>D7&gt;D6</formula1>
      <formula2>0</formula2>
    </dataValidation>
    <dataValidation allowBlank="true" error="Enter a value greater than (Vinmax / Maximum Load Current)" errorStyle="stop" errorTitle="Error" operator="between" prompt="RLstart = Vinmax / Load Current during Start-up.&#10;If there is no load during startup, set RLstart to 1000" promptTitle="Tool Help" showDropDown="false" showErrorMessage="true" showInputMessage="true" sqref="D10" type="custom">
      <formula1>D10&gt;=(D5/D11)</formula1>
      <formula2>0</formula2>
    </dataValidation>
    <dataValidation allowBlank="true" error="Enter a value in the range from 1k to 511k" errorStyle="stop" operator="between" showDropDown="false" showErrorMessage="true" showInputMessage="true" sqref="D61" type="decimal">
      <formula1>1</formula1>
      <formula2>511</formula2>
    </dataValidation>
    <dataValidation allowBlank="true" error="Enter a value in the range from 4.2V to 55V" errorStyle="stop" errorTitle="Error" operator="between" showDropDown="false" showErrorMessage="true" showInputMessage="false" sqref="D5" type="decimal">
      <formula1>4.2</formula1>
      <formula2>55</formula2>
    </dataValidation>
    <dataValidation allowBlank="true" error="Enter a value in the range from 0.1A to 2.23A" errorStyle="stop" errorTitle="Error" operator="between" showDropDown="false" showErrorMessage="true" showInputMessage="true" sqref="D11:D12" type="decimal">
      <formula1>0.1</formula1>
      <formula2>2.23</formula2>
    </dataValidation>
    <dataValidation allowBlank="false" error="CdVdT capacitor is not required if start-up time is less than or equal to default" errorStyle="stop" errorTitle="Error" operator="between" showDropDown="false" showErrorMessage="true" showInputMessage="false" sqref="D40" type="custom">
      <formula1>D40&gt;D37</formula1>
      <formula2>0</formula2>
    </dataValidation>
    <dataValidation allowBlank="true" errorStyle="stop" operator="between" prompt="Increase R3_sel value if leakage current is not in the acceptable range" promptTitle="Tool Help" showDropDown="false" showErrorMessage="true" showInputMessage="true" sqref="D25" type="none">
      <formula1>0</formula1>
      <formula2>0</formula2>
    </dataValidation>
    <dataValidation allowBlank="true" error="Enter a value in the range from 0.1V to 4V" errorStyle="stop" errorTitle="Error" operator="between" showDropDown="false" showErrorMessage="true" showInputMessage="true" sqref="D58" type="decimal">
      <formula1>0.01</formula1>
      <formula2>4</formula2>
    </dataValidation>
    <dataValidation allowBlank="true" errorStyle="stop" operator="between" prompt="Increase either RLstart value or startup time (Tstart_reg) for glitch free startup" promptTitle="Tool Help" showDropDown="false" showErrorMessage="false" showInputMessage="true" sqref="D55" type="none">
      <formula1>0</formula1>
      <formula2>0</formula2>
    </dataValidation>
    <dataValidation allowBlank="true" error="Minimum 0.1uF output capacitance is required" errorStyle="stop" errorTitle="Error" operator="greaterThanOrEqual" showDropDown="false" showErrorMessage="true" showInputMessage="true" sqref="D8" type="decimal">
      <formula1>0.1</formula1>
      <formula2>0</formula2>
    </dataValidation>
    <dataValidation allowBlank="true" error="Enter a value in the range from 1k to 100k" errorStyle="stop" errorTitle="Error" operator="between" showDropDown="false" showErrorMessage="true" showInputMessage="true" sqref="D20" type="decimal">
      <formula1>1</formula1>
      <formula2>100</formula2>
    </dataValidation>
    <dataValidation allowBlank="true" error="Enter a value in the range from 5.36k to 120k" errorStyle="stop" errorTitle="Error" operator="between" showDropDown="false" showErrorMessage="true" showInputMessage="true" sqref="D30" type="decimal">
      <formula1>5.36</formula1>
      <formula2>120</formula2>
    </dataValidation>
    <dataValidation allowBlank="true" error="Enter a value in the range from 1k to 5M" errorStyle="stop" errorTitle="Error" operator="between" showDropDown="false" showErrorMessage="true" showInputMessage="true" sqref="D21" type="decimal">
      <formula1>1</formula1>
      <formula2>5000</formula2>
    </dataValidation>
    <dataValidation allowBlank="true" error="Enter a value in the range from 0.01uF to 100uF" errorStyle="stop" operator="between" showDropDown="false" showErrorMessage="true" showInputMessage="true" sqref="D45" type="decimal">
      <formula1>0.01</formula1>
      <formula2>100</formula2>
    </dataValidation>
    <dataValidation allowBlank="true" error="Enter a value in the range from 1k to 249k" errorStyle="stop" errorTitle="Error" operator="between" showDropDown="false" showErrorMessage="true" showInputMessage="true" sqref="D15 D19" type="decimal">
      <formula1>1</formula1>
      <formula2>249</formula2>
    </dataValidation>
    <dataValidation allowBlank="true" error="Enter a value in the range from 5% to 30%" errorStyle="stop" errorTitle="Error" operator="between" showDropDown="false" showErrorMessage="true" showInputMessage="true" sqref="F8" type="decimal">
      <formula1>0.05</formula1>
      <formula2>0.3</formula2>
    </dataValidation>
    <dataValidation allowBlank="true" error="Enter a value in the range from 0.1% to 10%" errorStyle="stop" errorTitle="Error" operator="between" showDropDown="false" showErrorMessage="true" showInputMessage="true" sqref="F61" type="decimal">
      <formula1>0.001</formula1>
      <formula2>0.1</formula2>
    </dataValidation>
    <dataValidation allowBlank="true" error="Enter a value in the range from 2% to 20%" errorStyle="stop" errorTitle="Error" operator="between" showDropDown="false" showErrorMessage="true" showInputMessage="true" sqref="F45" type="decimal">
      <formula1>0.02</formula1>
      <formula2>0.2</formula2>
    </dataValidation>
    <dataValidation allowBlank="true" error="Enter a value in the range from 0.1% to 10%" errorStyle="stop" errorTitle="Error" operator="between" showDropDown="false" showErrorMessage="true" showInputMessage="true" sqref="F15 F19:F21 F30" type="decimal">
      <formula1>0.001</formula1>
      <formula2>0.1</formula2>
    </dataValidation>
    <dataValidation allowBlank="true" error="Select a value in the range from 25degC to 125degC" errorStyle="stop" errorTitle="Error" operator="between" showDropDown="false" showErrorMessage="true" showInputMessage="true" sqref="D9" type="list">
      <formula1>'Thermal Shutdown Limit Plot'!$C$2:$F$2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1" sqref="C61:D61 G9"/>
    </sheetView>
  </sheetViews>
  <sheetFormatPr defaultColWidth="9.12109375" defaultRowHeight="14.25" zeroHeight="false" outlineLevelRow="0" outlineLevelCol="0"/>
  <cols>
    <col collapsed="false" customWidth="true" hidden="false" outlineLevel="0" max="1" min="1" style="108" width="22.33"/>
    <col collapsed="false" customWidth="true" hidden="false" outlineLevel="0" max="2" min="2" style="108" width="14.22"/>
    <col collapsed="false" customWidth="true" hidden="false" outlineLevel="0" max="3" min="3" style="108" width="16.56"/>
    <col collapsed="false" customWidth="true" hidden="false" outlineLevel="0" max="5" min="4" style="108" width="15.56"/>
    <col collapsed="false" customWidth="true" hidden="false" outlineLevel="0" max="6" min="6" style="109" width="12.44"/>
    <col collapsed="false" customWidth="false" hidden="false" outlineLevel="0" max="7" min="7" style="109" width="9.11"/>
    <col collapsed="false" customWidth="true" hidden="false" outlineLevel="0" max="8" min="8" style="109" width="13.89"/>
    <col collapsed="false" customWidth="false" hidden="false" outlineLevel="0" max="1024" min="9" style="109" width="9.11"/>
  </cols>
  <sheetData>
    <row r="1" customFormat="false" ht="15" hidden="false" customHeight="false" outlineLevel="0" collapsed="false">
      <c r="A1" s="110" t="s">
        <v>144</v>
      </c>
      <c r="B1" s="111"/>
      <c r="C1" s="111"/>
      <c r="D1" s="111"/>
      <c r="E1" s="112"/>
      <c r="H1" s="113" t="s">
        <v>145</v>
      </c>
      <c r="J1" s="114" t="s">
        <v>146</v>
      </c>
      <c r="K1" s="115"/>
      <c r="L1" s="115"/>
      <c r="M1" s="115"/>
      <c r="N1" s="115"/>
    </row>
    <row r="2" customFormat="false" ht="15" hidden="false" customHeight="false" outlineLevel="0" collapsed="false">
      <c r="A2" s="116" t="s">
        <v>147</v>
      </c>
      <c r="B2" s="117" t="s">
        <v>148</v>
      </c>
      <c r="C2" s="117" t="s">
        <v>149</v>
      </c>
      <c r="D2" s="117" t="s">
        <v>22</v>
      </c>
      <c r="E2" s="117" t="s">
        <v>150</v>
      </c>
      <c r="F2" s="117" t="s">
        <v>151</v>
      </c>
      <c r="J2" s="118"/>
    </row>
    <row r="3" customFormat="false" ht="14.25" hidden="false" customHeight="false" outlineLevel="0" collapsed="false">
      <c r="A3" s="119" t="n">
        <v>1</v>
      </c>
      <c r="B3" s="119" t="n">
        <v>100000</v>
      </c>
      <c r="C3" s="119" t="n">
        <v>100000</v>
      </c>
      <c r="D3" s="119" t="n">
        <v>100000</v>
      </c>
      <c r="E3" s="119" t="n">
        <v>100000</v>
      </c>
      <c r="F3" s="119" t="n">
        <v>100000</v>
      </c>
      <c r="H3" s="120" t="s">
        <v>152</v>
      </c>
      <c r="I3" s="109" t="s">
        <v>153</v>
      </c>
      <c r="J3" s="121" t="s">
        <v>154</v>
      </c>
    </row>
    <row r="4" customFormat="false" ht="14.25" hidden="false" customHeight="false" outlineLevel="0" collapsed="false">
      <c r="A4" s="119" t="n">
        <v>2</v>
      </c>
      <c r="B4" s="119" t="n">
        <v>100000</v>
      </c>
      <c r="C4" s="119" t="n">
        <v>100000</v>
      </c>
      <c r="D4" s="119" t="n">
        <v>100000</v>
      </c>
      <c r="E4" s="119" t="n">
        <v>100000</v>
      </c>
      <c r="F4" s="119" t="n">
        <v>3640</v>
      </c>
      <c r="I4" s="109" t="s">
        <v>155</v>
      </c>
      <c r="J4" s="121" t="s">
        <v>156</v>
      </c>
    </row>
    <row r="5" customFormat="false" ht="14.25" hidden="false" customHeight="false" outlineLevel="0" collapsed="false">
      <c r="A5" s="119" t="n">
        <v>3</v>
      </c>
      <c r="B5" s="119" t="n">
        <v>100000</v>
      </c>
      <c r="C5" s="119" t="n">
        <v>100000</v>
      </c>
      <c r="D5" s="119" t="n">
        <v>34590</v>
      </c>
      <c r="E5" s="119" t="n">
        <v>2870</v>
      </c>
      <c r="F5" s="119" t="n">
        <v>482</v>
      </c>
      <c r="J5" s="121"/>
    </row>
    <row r="6" customFormat="false" ht="14.25" hidden="false" customHeight="false" outlineLevel="0" collapsed="false">
      <c r="A6" s="119" t="n">
        <v>4</v>
      </c>
      <c r="B6" s="119" t="n">
        <v>100000</v>
      </c>
      <c r="C6" s="119" t="n">
        <v>72350</v>
      </c>
      <c r="D6" s="119" t="n">
        <v>2810</v>
      </c>
      <c r="E6" s="119" t="n">
        <v>681.6</v>
      </c>
      <c r="F6" s="119" t="n">
        <v>174</v>
      </c>
      <c r="J6" s="118"/>
    </row>
    <row r="7" customFormat="false" ht="14.25" hidden="false" customHeight="false" outlineLevel="0" collapsed="false">
      <c r="A7" s="119" t="n">
        <v>5</v>
      </c>
      <c r="B7" s="119" t="n">
        <v>100000</v>
      </c>
      <c r="C7" s="119" t="n">
        <v>13880</v>
      </c>
      <c r="D7" s="119" t="n">
        <v>1497</v>
      </c>
      <c r="E7" s="119" t="n">
        <v>400</v>
      </c>
      <c r="F7" s="119" t="n">
        <v>133.7</v>
      </c>
      <c r="J7" s="118"/>
    </row>
    <row r="8" customFormat="false" ht="14.25" hidden="false" customHeight="false" outlineLevel="0" collapsed="false">
      <c r="A8" s="119" t="n">
        <v>6</v>
      </c>
      <c r="B8" s="119" t="n">
        <v>100000</v>
      </c>
      <c r="C8" s="119" t="n">
        <v>4315</v>
      </c>
      <c r="D8" s="119" t="n">
        <v>638.6</v>
      </c>
      <c r="E8" s="119" t="n">
        <v>250</v>
      </c>
      <c r="F8" s="119" t="n">
        <v>69.76</v>
      </c>
      <c r="H8" s="122"/>
      <c r="J8" s="122"/>
    </row>
    <row r="9" customFormat="false" ht="14.25" hidden="false" customHeight="false" outlineLevel="0" collapsed="false">
      <c r="A9" s="119" t="n">
        <v>7</v>
      </c>
      <c r="B9" s="119" t="n">
        <v>100000</v>
      </c>
      <c r="C9" s="119" t="n">
        <v>2088</v>
      </c>
      <c r="D9" s="119" t="n">
        <v>345</v>
      </c>
      <c r="E9" s="119" t="n">
        <v>142.8</v>
      </c>
      <c r="F9" s="119" t="n">
        <v>39.84</v>
      </c>
      <c r="J9" s="122"/>
    </row>
    <row r="10" customFormat="false" ht="14.25" hidden="false" customHeight="false" outlineLevel="0" collapsed="false">
      <c r="A10" s="119" t="n">
        <v>8</v>
      </c>
      <c r="B10" s="119" t="n">
        <v>59170</v>
      </c>
      <c r="C10" s="119" t="n">
        <v>1147</v>
      </c>
      <c r="D10" s="119" t="n">
        <v>214</v>
      </c>
      <c r="E10" s="119" t="n">
        <v>90.8</v>
      </c>
      <c r="F10" s="119" t="n">
        <v>25.92</v>
      </c>
    </row>
    <row r="11" customFormat="false" ht="14.25" hidden="false" customHeight="false" outlineLevel="0" collapsed="false">
      <c r="A11" s="119" t="n">
        <v>9</v>
      </c>
      <c r="B11" s="119" t="n">
        <v>7000</v>
      </c>
      <c r="C11" s="119" t="n">
        <v>716</v>
      </c>
      <c r="D11" s="119" t="n">
        <v>143.43</v>
      </c>
      <c r="E11" s="119" t="n">
        <v>61.84</v>
      </c>
      <c r="F11" s="119" t="n">
        <v>17.44</v>
      </c>
    </row>
    <row r="12" customFormat="false" ht="14.25" hidden="false" customHeight="false" outlineLevel="0" collapsed="false">
      <c r="A12" s="119" t="n">
        <v>10</v>
      </c>
      <c r="B12" s="119" t="n">
        <v>3275</v>
      </c>
      <c r="C12" s="119" t="n">
        <v>472.76</v>
      </c>
      <c r="D12" s="119" t="n">
        <v>101</v>
      </c>
      <c r="E12" s="119" t="n">
        <v>42.64</v>
      </c>
      <c r="F12" s="119" t="n">
        <v>12.44</v>
      </c>
    </row>
    <row r="13" customFormat="false" ht="14.25" hidden="false" customHeight="false" outlineLevel="0" collapsed="false">
      <c r="A13" s="119" t="n">
        <v>12</v>
      </c>
      <c r="B13" s="119" t="n">
        <v>1172</v>
      </c>
      <c r="C13" s="119" t="n">
        <v>255.7</v>
      </c>
      <c r="D13" s="119" t="n">
        <v>55.33</v>
      </c>
      <c r="E13" s="119" t="n">
        <v>22.8</v>
      </c>
      <c r="F13" s="119" t="n">
        <v>7.4</v>
      </c>
    </row>
    <row r="14" customFormat="false" ht="14.25" hidden="false" customHeight="false" outlineLevel="0" collapsed="false">
      <c r="A14" s="119" t="n">
        <v>14</v>
      </c>
      <c r="B14" s="119" t="n">
        <v>602.6</v>
      </c>
      <c r="C14" s="119" t="n">
        <v>154.3</v>
      </c>
      <c r="D14" s="119" t="n">
        <v>33.78</v>
      </c>
      <c r="E14" s="119" t="n">
        <v>13.92</v>
      </c>
      <c r="F14" s="119" t="n">
        <v>4.98</v>
      </c>
    </row>
    <row r="15" customFormat="false" ht="14.25" hidden="false" customHeight="false" outlineLevel="0" collapsed="false">
      <c r="A15" s="119" t="n">
        <v>16</v>
      </c>
      <c r="B15" s="119" t="n">
        <v>367.2</v>
      </c>
      <c r="C15" s="119" t="n">
        <v>100</v>
      </c>
      <c r="D15" s="119" t="n">
        <v>21.41</v>
      </c>
      <c r="E15" s="119" t="n">
        <v>9.24</v>
      </c>
      <c r="F15" s="119" t="n">
        <v>3.75</v>
      </c>
    </row>
    <row r="16" customFormat="false" ht="14.25" hidden="false" customHeight="false" outlineLevel="0" collapsed="false">
      <c r="A16" s="119" t="n">
        <v>18</v>
      </c>
      <c r="B16" s="119" t="n">
        <v>245.9</v>
      </c>
      <c r="C16" s="119" t="n">
        <v>68.115</v>
      </c>
      <c r="D16" s="119" t="n">
        <v>14.39</v>
      </c>
      <c r="E16" s="119" t="n">
        <v>6.68</v>
      </c>
      <c r="F16" s="119" t="n">
        <v>2.97</v>
      </c>
    </row>
    <row r="17" customFormat="false" ht="14.25" hidden="false" customHeight="false" outlineLevel="0" collapsed="false">
      <c r="A17" s="119" t="n">
        <v>20</v>
      </c>
      <c r="B17" s="119" t="n">
        <v>174</v>
      </c>
      <c r="C17" s="119" t="n">
        <v>49.142</v>
      </c>
      <c r="D17" s="119" t="n">
        <v>10.52</v>
      </c>
      <c r="E17" s="119" t="n">
        <v>5.218</v>
      </c>
      <c r="F17" s="119" t="n">
        <v>2.49</v>
      </c>
    </row>
    <row r="18" customFormat="false" ht="14.25" hidden="false" customHeight="false" outlineLevel="0" collapsed="false">
      <c r="A18" s="119" t="n">
        <v>25</v>
      </c>
      <c r="B18" s="119" t="n">
        <v>85.9</v>
      </c>
      <c r="C18" s="119" t="n">
        <v>24.4</v>
      </c>
      <c r="D18" s="119" t="n">
        <v>5.69</v>
      </c>
      <c r="E18" s="119" t="n">
        <v>3.25</v>
      </c>
      <c r="F18" s="119" t="n">
        <v>1.746</v>
      </c>
    </row>
    <row r="19" customFormat="false" ht="14.25" hidden="false" customHeight="false" outlineLevel="0" collapsed="false">
      <c r="A19" s="119" t="n">
        <v>30</v>
      </c>
      <c r="B19" s="119" t="n">
        <v>48</v>
      </c>
      <c r="C19" s="119" t="n">
        <v>13.79</v>
      </c>
      <c r="D19" s="119" t="n">
        <v>3.76</v>
      </c>
      <c r="E19" s="119" t="n">
        <v>2.338</v>
      </c>
      <c r="F19" s="119" t="n">
        <v>1.346</v>
      </c>
    </row>
    <row r="20" customFormat="false" ht="14.25" hidden="false" customHeight="false" outlineLevel="0" collapsed="false">
      <c r="A20" s="119" t="n">
        <v>35</v>
      </c>
      <c r="B20" s="119" t="n">
        <v>28.44</v>
      </c>
      <c r="C20" s="119" t="n">
        <v>8.643</v>
      </c>
      <c r="D20" s="119" t="n">
        <v>2.8</v>
      </c>
      <c r="E20" s="119" t="n">
        <v>1.81</v>
      </c>
      <c r="F20" s="119" t="n">
        <v>1.09</v>
      </c>
    </row>
    <row r="21" customFormat="false" ht="14.25" hidden="false" customHeight="false" outlineLevel="0" collapsed="false">
      <c r="A21" s="119" t="n">
        <v>40</v>
      </c>
      <c r="B21" s="119" t="n">
        <v>18.94</v>
      </c>
      <c r="C21" s="119" t="n">
        <v>6.07</v>
      </c>
      <c r="D21" s="119" t="n">
        <v>2.16</v>
      </c>
      <c r="E21" s="119" t="n">
        <v>1.49</v>
      </c>
      <c r="F21" s="119" t="n">
        <v>0.926</v>
      </c>
    </row>
    <row r="22" customFormat="false" ht="14.25" hidden="false" customHeight="false" outlineLevel="0" collapsed="false">
      <c r="A22" s="119" t="n">
        <v>50</v>
      </c>
      <c r="B22" s="119" t="n">
        <v>9</v>
      </c>
      <c r="C22" s="119" t="n">
        <v>3.52</v>
      </c>
      <c r="D22" s="119" t="n">
        <v>1.52</v>
      </c>
      <c r="E22" s="119" t="n">
        <v>1.094</v>
      </c>
      <c r="F22" s="119" t="n">
        <v>0.71</v>
      </c>
    </row>
    <row r="23" customFormat="false" ht="14.25" hidden="false" customHeight="false" outlineLevel="0" collapsed="false">
      <c r="A23" s="119" t="n">
        <v>60</v>
      </c>
      <c r="B23" s="119" t="n">
        <v>6.72</v>
      </c>
      <c r="C23" s="119" t="n">
        <v>2.39</v>
      </c>
      <c r="D23" s="119" t="n">
        <v>1.178</v>
      </c>
      <c r="E23" s="119" t="n">
        <v>0.882</v>
      </c>
      <c r="F23" s="119" t="n">
        <v>0.574</v>
      </c>
    </row>
    <row r="24" customFormat="false" ht="14.25" hidden="false" customHeight="false" outlineLevel="0" collapsed="false">
      <c r="A24" s="119" t="n">
        <v>75</v>
      </c>
      <c r="B24" s="119" t="n">
        <v>3.73</v>
      </c>
      <c r="C24" s="119" t="n">
        <v>1.792</v>
      </c>
      <c r="D24" s="119" t="n">
        <v>0.986</v>
      </c>
      <c r="E24" s="119" t="n">
        <v>0.719</v>
      </c>
      <c r="F24" s="119" t="n">
        <v>0.4748</v>
      </c>
    </row>
    <row r="25" customFormat="false" ht="14.25" hidden="false" customHeight="false" outlineLevel="0" collapsed="false">
      <c r="A25" s="119" t="n">
        <v>100</v>
      </c>
      <c r="B25" s="119" t="n">
        <v>2.155</v>
      </c>
      <c r="C25" s="119" t="n">
        <v>1.22</v>
      </c>
      <c r="D25" s="119" t="n">
        <v>0.694</v>
      </c>
      <c r="E25" s="119" t="n">
        <v>0.5067</v>
      </c>
      <c r="F25" s="119" t="n">
        <v>0.3535</v>
      </c>
    </row>
    <row r="26" customFormat="false" ht="14.25" hidden="false" customHeight="false" outlineLevel="0" collapsed="false">
      <c r="B26" s="119"/>
      <c r="C26" s="119"/>
      <c r="D26" s="119"/>
      <c r="E26" s="119"/>
    </row>
    <row r="27" customFormat="false" ht="14.25" hidden="false" customHeight="false" outlineLevel="0" collapsed="false">
      <c r="B27" s="123"/>
      <c r="C27" s="124" t="s">
        <v>157</v>
      </c>
      <c r="D27" s="125" t="s">
        <v>158</v>
      </c>
      <c r="E27" s="119"/>
    </row>
    <row r="28" customFormat="false" ht="14.25" hidden="false" customHeight="false" outlineLevel="0" collapsed="false">
      <c r="B28" s="126" t="s">
        <v>159</v>
      </c>
      <c r="C28" s="127" t="n">
        <f aca="false">'Calculation Sheet'!D53</f>
        <v>12</v>
      </c>
      <c r="D28" s="128" t="n">
        <f aca="false">Tdvdt</f>
        <v>45.6112162127141</v>
      </c>
      <c r="E28" s="119"/>
    </row>
    <row r="29" customFormat="false" ht="14.25" hidden="false" customHeight="false" outlineLevel="0" collapsed="false">
      <c r="B29" s="129" t="s">
        <v>160</v>
      </c>
      <c r="C29" s="130" t="n">
        <f aca="false">'Calculation Sheet'!D52</f>
        <v>2.34831022222222</v>
      </c>
      <c r="D29" s="131" t="n">
        <f aca="false">D28</f>
        <v>45.6112162127141</v>
      </c>
      <c r="E29" s="119"/>
    </row>
    <row r="30" customFormat="false" ht="14.25" hidden="false" customHeight="false" outlineLevel="0" collapsed="false">
      <c r="D30" s="119"/>
      <c r="E30" s="119"/>
    </row>
    <row r="31" customFormat="false" ht="14.25" hidden="false" customHeight="false" outlineLevel="0" collapsed="false">
      <c r="D31" s="119"/>
      <c r="E31" s="119"/>
    </row>
    <row r="32" customFormat="false" ht="14.25" hidden="false" customHeight="false" outlineLevel="0" collapsed="false">
      <c r="B32" s="119"/>
      <c r="C32" s="119"/>
      <c r="D32" s="119"/>
      <c r="E32" s="119"/>
    </row>
    <row r="33" s="109" customFormat="true" ht="14.25" hidden="false" customHeight="false" outlineLevel="0" collapsed="false">
      <c r="B33" s="119"/>
      <c r="C33" s="119"/>
      <c r="D33" s="119"/>
      <c r="E33" s="119"/>
    </row>
    <row r="34" s="109" customFormat="true" ht="14.25" hidden="false" customHeight="false" outlineLevel="0" collapsed="false">
      <c r="B34" s="119"/>
      <c r="C34" s="119"/>
      <c r="D34" s="119"/>
      <c r="E34" s="119"/>
    </row>
    <row r="35" s="109" customFormat="true" ht="14.25" hidden="false" customHeight="false" outlineLevel="0" collapsed="false">
      <c r="B35" s="119"/>
      <c r="C35" s="119"/>
      <c r="D35" s="119"/>
      <c r="E35" s="119"/>
    </row>
    <row r="36" s="109" customFormat="true" ht="14.25" hidden="false" customHeight="false" outlineLevel="0" collapsed="false">
      <c r="B36" s="119"/>
      <c r="C36" s="119"/>
      <c r="D36" s="119"/>
      <c r="E36" s="119"/>
    </row>
    <row r="37" s="109" customFormat="true" ht="14.25" hidden="false" customHeight="false" outlineLevel="0" collapsed="false">
      <c r="B37" s="119"/>
      <c r="C37" s="119"/>
      <c r="D37" s="119"/>
      <c r="E37" s="119"/>
    </row>
    <row r="38" s="109" customFormat="true" ht="14.25" hidden="false" customHeight="false" outlineLevel="0" collapsed="false">
      <c r="B38" s="119"/>
      <c r="C38" s="119"/>
      <c r="D38" s="119"/>
      <c r="E38" s="119"/>
    </row>
    <row r="39" s="109" customFormat="true" ht="14.25" hidden="false" customHeight="false" outlineLevel="0" collapsed="false">
      <c r="B39" s="119"/>
      <c r="C39" s="119"/>
      <c r="D39" s="119"/>
      <c r="E39" s="119"/>
    </row>
    <row r="40" s="109" customFormat="true" ht="14.25" hidden="false" customHeight="false" outlineLevel="0" collapsed="false">
      <c r="B40" s="119"/>
      <c r="C40" s="119"/>
      <c r="D40" s="119"/>
      <c r="E40" s="119"/>
    </row>
    <row r="41" s="109" customFormat="true" ht="14.25" hidden="false" customHeight="false" outlineLevel="0" collapsed="false">
      <c r="B41" s="119"/>
      <c r="C41" s="119"/>
      <c r="D41" s="119"/>
      <c r="E41" s="119"/>
    </row>
    <row r="42" s="109" customFormat="true" ht="14.25" hidden="false" customHeight="false" outlineLevel="0" collapsed="false">
      <c r="B42" s="119"/>
      <c r="C42" s="119"/>
      <c r="D42" s="119"/>
      <c r="E42" s="119"/>
    </row>
    <row r="43" s="109" customFormat="true" ht="14.25" hidden="false" customHeight="false" outlineLevel="0" collapsed="false">
      <c r="B43" s="119"/>
      <c r="C43" s="119"/>
      <c r="D43" s="119"/>
      <c r="E43" s="119"/>
    </row>
    <row r="44" s="109" customFormat="true" ht="14.25" hidden="false" customHeight="false" outlineLevel="0" collapsed="false">
      <c r="B44" s="119"/>
      <c r="C44" s="119"/>
      <c r="D44" s="119"/>
      <c r="E44" s="119"/>
    </row>
    <row r="45" s="109" customFormat="true" ht="14.25" hidden="false" customHeight="false" outlineLevel="0" collapsed="false">
      <c r="B45" s="119"/>
      <c r="C45" s="119"/>
      <c r="D45" s="119"/>
      <c r="E45" s="119"/>
    </row>
    <row r="46" s="109" customFormat="true" ht="14.25" hidden="false" customHeight="false" outlineLevel="0" collapsed="false">
      <c r="B46" s="119"/>
      <c r="C46" s="119"/>
      <c r="D46" s="119"/>
      <c r="E46" s="119"/>
    </row>
    <row r="47" s="109" customFormat="true" ht="14.25" hidden="false" customHeight="false" outlineLevel="0" collapsed="false">
      <c r="B47" s="119"/>
      <c r="C47" s="119"/>
      <c r="D47" s="119"/>
      <c r="E47" s="119"/>
    </row>
    <row r="48" s="109" customFormat="true" ht="14.25" hidden="false" customHeight="false" outlineLevel="0" collapsed="false">
      <c r="B48" s="119"/>
      <c r="C48" s="119"/>
      <c r="D48" s="119"/>
      <c r="E48" s="119"/>
    </row>
    <row r="49" s="109" customFormat="true" ht="14.25" hidden="false" customHeight="false" outlineLevel="0" collapsed="false">
      <c r="B49" s="119"/>
      <c r="C49" s="119"/>
      <c r="D49" s="119"/>
      <c r="E49" s="119"/>
    </row>
    <row r="50" s="109" customFormat="true" ht="14.25" hidden="false" customHeight="false" outlineLevel="0" collapsed="false">
      <c r="B50" s="119"/>
      <c r="C50" s="119"/>
      <c r="D50" s="119"/>
      <c r="E50" s="119"/>
    </row>
    <row r="51" s="109" customFormat="true" ht="14.25" hidden="false" customHeight="false" outlineLevel="0" collapsed="false">
      <c r="B51" s="119"/>
      <c r="C51" s="119"/>
      <c r="D51" s="119"/>
      <c r="E51" s="119"/>
    </row>
    <row r="52" s="109" customFormat="true" ht="14.25" hidden="false" customHeight="false" outlineLevel="0" collapsed="false">
      <c r="B52" s="119"/>
      <c r="C52" s="119"/>
      <c r="D52" s="119"/>
      <c r="E52" s="119"/>
    </row>
    <row r="53" s="109" customFormat="true" ht="14.25" hidden="false" customHeight="false" outlineLevel="0" collapsed="false">
      <c r="B53" s="119"/>
      <c r="C53" s="119"/>
      <c r="D53" s="119"/>
      <c r="E53" s="119"/>
    </row>
    <row r="54" s="109" customFormat="true" ht="14.25" hidden="false" customHeight="false" outlineLevel="0" collapsed="false">
      <c r="B54" s="119"/>
      <c r="C54" s="119"/>
      <c r="D54" s="119"/>
      <c r="E54" s="119"/>
    </row>
    <row r="55" s="109" customFormat="true" ht="14.25" hidden="false" customHeight="false" outlineLevel="0" collapsed="false">
      <c r="B55" s="119"/>
      <c r="C55" s="119"/>
      <c r="D55" s="119"/>
      <c r="E55" s="119"/>
    </row>
    <row r="56" s="109" customFormat="true" ht="14.25" hidden="false" customHeight="false" outlineLevel="0" collapsed="false">
      <c r="B56" s="119"/>
      <c r="C56" s="119"/>
      <c r="D56" s="119"/>
      <c r="E56" s="119"/>
    </row>
    <row r="57" s="109" customFormat="true" ht="14.25" hidden="false" customHeight="false" outlineLevel="0" collapsed="false">
      <c r="B57" s="119"/>
      <c r="C57" s="119"/>
      <c r="D57" s="119"/>
      <c r="E57" s="119"/>
    </row>
    <row r="58" s="109" customFormat="true" ht="14.25" hidden="false" customHeight="false" outlineLevel="0" collapsed="false">
      <c r="B58" s="119"/>
      <c r="C58" s="119"/>
      <c r="D58" s="119"/>
      <c r="E58" s="119"/>
    </row>
    <row r="59" s="109" customFormat="true" ht="14.25" hidden="false" customHeight="false" outlineLevel="0" collapsed="false">
      <c r="B59" s="119"/>
      <c r="C59" s="119"/>
      <c r="D59" s="119"/>
      <c r="E59" s="119"/>
    </row>
    <row r="60" s="109" customFormat="true" ht="14.25" hidden="false" customHeight="false" outlineLevel="0" collapsed="false">
      <c r="B60" s="119"/>
      <c r="C60" s="119"/>
      <c r="D60" s="119"/>
      <c r="E60" s="119"/>
    </row>
    <row r="61" s="109" customFormat="true" ht="14.25" hidden="false" customHeight="false" outlineLevel="0" collapsed="false">
      <c r="B61" s="119"/>
      <c r="C61" s="119"/>
      <c r="D61" s="119"/>
      <c r="E61" s="119"/>
    </row>
    <row r="62" s="109" customFormat="true" ht="14.25" hidden="false" customHeight="false" outlineLevel="0" collapsed="false">
      <c r="B62" s="119"/>
      <c r="C62" s="119"/>
      <c r="D62" s="119"/>
      <c r="E62" s="119"/>
    </row>
    <row r="63" s="109" customFormat="true" ht="14.25" hidden="false" customHeight="false" outlineLevel="0" collapsed="false">
      <c r="B63" s="119"/>
      <c r="C63" s="119"/>
      <c r="D63" s="119"/>
      <c r="E63" s="119"/>
    </row>
    <row r="64" s="109" customFormat="true" ht="14.25" hidden="false" customHeight="false" outlineLevel="0" collapsed="false">
      <c r="B64" s="119"/>
      <c r="C64" s="119"/>
      <c r="D64" s="119"/>
      <c r="E64" s="119"/>
    </row>
    <row r="65" s="109" customFormat="true" ht="14.25" hidden="false" customHeight="false" outlineLevel="0" collapsed="false">
      <c r="B65" s="119"/>
      <c r="C65" s="119"/>
      <c r="D65" s="119"/>
      <c r="E65" s="119"/>
    </row>
    <row r="66" s="109" customFormat="true" ht="14.25" hidden="false" customHeight="false" outlineLevel="0" collapsed="false">
      <c r="B66" s="119"/>
      <c r="C66" s="119"/>
      <c r="D66" s="119"/>
      <c r="E66" s="119"/>
    </row>
    <row r="67" s="109" customFormat="true" ht="14.25" hidden="false" customHeight="false" outlineLevel="0" collapsed="false">
      <c r="B67" s="119"/>
      <c r="C67" s="119"/>
      <c r="D67" s="119"/>
      <c r="E67" s="119"/>
    </row>
    <row r="68" s="109" customFormat="true" ht="14.25" hidden="false" customHeight="false" outlineLevel="0" collapsed="false">
      <c r="B68" s="119"/>
      <c r="C68" s="119"/>
      <c r="D68" s="119"/>
      <c r="E68" s="119"/>
    </row>
    <row r="69" s="109" customFormat="true" ht="14.25" hidden="false" customHeight="false" outlineLevel="0" collapsed="false">
      <c r="B69" s="119"/>
      <c r="C69" s="119"/>
      <c r="D69" s="119"/>
      <c r="E69" s="119"/>
    </row>
    <row r="70" s="109" customFormat="true" ht="14.25" hidden="false" customHeight="false" outlineLevel="0" collapsed="false">
      <c r="B70" s="119"/>
      <c r="C70" s="119"/>
      <c r="D70" s="119"/>
      <c r="E70" s="119"/>
    </row>
    <row r="71" s="109" customFormat="true" ht="14.25" hidden="false" customHeight="false" outlineLevel="0" collapsed="false">
      <c r="B71" s="119"/>
      <c r="C71" s="119"/>
      <c r="D71" s="119"/>
      <c r="E71" s="119"/>
    </row>
    <row r="72" s="109" customFormat="true" ht="14.25" hidden="false" customHeight="false" outlineLevel="0" collapsed="false">
      <c r="B72" s="119"/>
      <c r="C72" s="119"/>
      <c r="D72" s="119"/>
      <c r="E72" s="119"/>
    </row>
    <row r="73" s="109" customFormat="true" ht="14.25" hidden="false" customHeight="false" outlineLevel="0" collapsed="false">
      <c r="B73" s="119"/>
      <c r="C73" s="119"/>
      <c r="D73" s="119"/>
      <c r="E73" s="119"/>
    </row>
    <row r="74" s="109" customFormat="true" ht="14.25" hidden="false" customHeight="false" outlineLevel="0" collapsed="false">
      <c r="B74" s="119"/>
      <c r="C74" s="119"/>
      <c r="D74" s="119"/>
      <c r="E74" s="119"/>
    </row>
    <row r="75" s="109" customFormat="true" ht="14.25" hidden="false" customHeight="false" outlineLevel="0" collapsed="false">
      <c r="B75" s="119"/>
      <c r="C75" s="119"/>
      <c r="D75" s="119"/>
      <c r="E75" s="119"/>
    </row>
    <row r="76" s="109" customFormat="true" ht="14.25" hidden="false" customHeight="false" outlineLevel="0" collapsed="false">
      <c r="B76" s="119"/>
      <c r="C76" s="119"/>
      <c r="D76" s="119"/>
      <c r="E76" s="119"/>
    </row>
    <row r="77" s="109" customFormat="true" ht="14.25" hidden="false" customHeight="false" outlineLevel="0" collapsed="false">
      <c r="B77" s="119"/>
      <c r="C77" s="119"/>
      <c r="D77" s="119"/>
      <c r="E77" s="119"/>
    </row>
    <row r="78" s="109" customFormat="true" ht="14.25" hidden="false" customHeight="false" outlineLevel="0" collapsed="false">
      <c r="B78" s="119"/>
      <c r="C78" s="119"/>
      <c r="D78" s="119"/>
      <c r="E78" s="119"/>
    </row>
    <row r="79" s="109" customFormat="true" ht="14.25" hidden="false" customHeight="false" outlineLevel="0" collapsed="false">
      <c r="B79" s="119"/>
      <c r="C79" s="119"/>
      <c r="D79" s="119"/>
      <c r="E79" s="119"/>
    </row>
    <row r="80" s="109" customFormat="true" ht="14.25" hidden="false" customHeight="false" outlineLevel="0" collapsed="false">
      <c r="B80" s="119"/>
      <c r="C80" s="119"/>
      <c r="D80" s="119"/>
      <c r="E80" s="119"/>
    </row>
    <row r="81" s="109" customFormat="true" ht="14.25" hidden="false" customHeight="false" outlineLevel="0" collapsed="false">
      <c r="B81" s="119"/>
      <c r="C81" s="119"/>
      <c r="D81" s="119"/>
      <c r="E81" s="119"/>
    </row>
    <row r="82" s="109" customFormat="true" ht="14.25" hidden="false" customHeight="false" outlineLevel="0" collapsed="false">
      <c r="B82" s="119"/>
      <c r="C82" s="119"/>
      <c r="D82" s="119"/>
      <c r="E82" s="119"/>
    </row>
    <row r="83" s="109" customFormat="true" ht="14.25" hidden="false" customHeight="false" outlineLevel="0" collapsed="false">
      <c r="B83" s="119"/>
      <c r="C83" s="119"/>
      <c r="D83" s="119"/>
      <c r="E83" s="119"/>
    </row>
    <row r="84" s="109" customFormat="true" ht="14.25" hidden="false" customHeight="false" outlineLevel="0" collapsed="false">
      <c r="B84" s="119"/>
      <c r="C84" s="119"/>
      <c r="D84" s="119"/>
      <c r="E84" s="119"/>
    </row>
    <row r="85" s="109" customFormat="true" ht="14.25" hidden="false" customHeight="false" outlineLevel="0" collapsed="false">
      <c r="B85" s="119"/>
      <c r="C85" s="119"/>
      <c r="D85" s="119"/>
      <c r="E85" s="119"/>
    </row>
    <row r="86" s="109" customFormat="true" ht="14.25" hidden="false" customHeight="false" outlineLevel="0" collapsed="false">
      <c r="B86" s="119"/>
      <c r="C86" s="119"/>
      <c r="D86" s="119"/>
      <c r="E86" s="119"/>
    </row>
    <row r="87" s="109" customFormat="true" ht="14.25" hidden="false" customHeight="false" outlineLevel="0" collapsed="false">
      <c r="B87" s="119"/>
      <c r="C87" s="119"/>
      <c r="D87" s="119"/>
      <c r="E87" s="119"/>
    </row>
    <row r="88" s="109" customFormat="true" ht="14.25" hidden="false" customHeight="false" outlineLevel="0" collapsed="false">
      <c r="B88" s="119"/>
      <c r="C88" s="119"/>
      <c r="D88" s="119"/>
      <c r="E88" s="119"/>
    </row>
    <row r="89" s="109" customFormat="true" ht="14.25" hidden="false" customHeight="false" outlineLevel="0" collapsed="false">
      <c r="B89" s="119"/>
      <c r="C89" s="119"/>
      <c r="D89" s="119"/>
      <c r="E89" s="119"/>
    </row>
    <row r="90" s="109" customFormat="true" ht="14.25" hidden="false" customHeight="false" outlineLevel="0" collapsed="false">
      <c r="B90" s="119"/>
      <c r="C90" s="119"/>
      <c r="D90" s="119"/>
      <c r="E90" s="119"/>
    </row>
    <row r="91" s="109" customFormat="true" ht="14.25" hidden="false" customHeight="false" outlineLevel="0" collapsed="false">
      <c r="B91" s="119"/>
      <c r="C91" s="119"/>
      <c r="D91" s="119"/>
      <c r="E91" s="119"/>
    </row>
    <row r="92" s="109" customFormat="true" ht="14.25" hidden="false" customHeight="false" outlineLevel="0" collapsed="false">
      <c r="B92" s="119"/>
      <c r="C92" s="119"/>
      <c r="D92" s="119"/>
      <c r="E92" s="119"/>
    </row>
    <row r="93" s="109" customFormat="true" ht="14.25" hidden="false" customHeight="false" outlineLevel="0" collapsed="false">
      <c r="B93" s="119"/>
      <c r="C93" s="119"/>
      <c r="D93" s="119"/>
      <c r="E93" s="119"/>
    </row>
    <row r="94" s="109" customFormat="true" ht="14.25" hidden="false" customHeight="false" outlineLevel="0" collapsed="false">
      <c r="B94" s="119"/>
      <c r="C94" s="119"/>
      <c r="D94" s="119"/>
      <c r="E94" s="119"/>
    </row>
    <row r="95" s="109" customFormat="true" ht="14.25" hidden="false" customHeight="false" outlineLevel="0" collapsed="false">
      <c r="B95" s="119"/>
      <c r="C95" s="119"/>
      <c r="D95" s="119"/>
      <c r="E95" s="119"/>
    </row>
    <row r="96" s="109" customFormat="true" ht="14.25" hidden="false" customHeight="false" outlineLevel="0" collapsed="false">
      <c r="B96" s="119"/>
      <c r="C96" s="119"/>
      <c r="D96" s="119"/>
      <c r="E96" s="119"/>
    </row>
    <row r="97" customFormat="false" ht="14.25" hidden="false" customHeight="false" outlineLevel="0" collapsed="false">
      <c r="B97" s="119"/>
      <c r="C97" s="119"/>
      <c r="D97" s="119"/>
      <c r="E97" s="119"/>
    </row>
    <row r="98" customFormat="false" ht="14.25" hidden="false" customHeight="false" outlineLevel="0" collapsed="false">
      <c r="B98" s="119"/>
      <c r="C98" s="119"/>
      <c r="D98" s="119"/>
      <c r="E98" s="119"/>
    </row>
    <row r="99" customFormat="false" ht="14.25" hidden="false" customHeight="false" outlineLevel="0" collapsed="false">
      <c r="B99" s="119"/>
      <c r="C99" s="119"/>
      <c r="D99" s="119"/>
      <c r="E99" s="119"/>
    </row>
    <row r="100" customFormat="false" ht="14.25" hidden="false" customHeight="false" outlineLevel="0" collapsed="false">
      <c r="B100" s="119"/>
      <c r="C100" s="119"/>
      <c r="D100" s="119"/>
      <c r="E100" s="119"/>
    </row>
    <row r="101" customFormat="false" ht="14.25" hidden="false" customHeight="false" outlineLevel="0" collapsed="false">
      <c r="B101" s="119"/>
      <c r="C101" s="119"/>
      <c r="D101" s="119"/>
      <c r="E101" s="119"/>
    </row>
    <row r="102" customFormat="false" ht="14.25" hidden="false" customHeight="false" outlineLevel="0" collapsed="false">
      <c r="B102" s="119"/>
      <c r="C102" s="119"/>
      <c r="D102" s="119"/>
      <c r="E102" s="119"/>
    </row>
    <row r="103" customFormat="false" ht="14.25" hidden="false" customHeight="false" outlineLevel="0" collapsed="false">
      <c r="A103" s="119"/>
      <c r="B103" s="119"/>
      <c r="C103" s="119"/>
      <c r="D103" s="119"/>
      <c r="E103" s="119"/>
    </row>
    <row r="104" customFormat="false" ht="14.25" hidden="false" customHeight="false" outlineLevel="0" collapsed="false">
      <c r="A104" s="119"/>
      <c r="B104" s="119"/>
      <c r="C104" s="119"/>
      <c r="D104" s="119"/>
      <c r="E104" s="119"/>
    </row>
  </sheetData>
  <sheetProtection sheet="true" password="8553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35" activePane="bottomLeft" state="frozen"/>
      <selection pane="topLeft" activeCell="A1" activeCellId="0" sqref="A1"/>
      <selection pane="bottomLeft" activeCell="E51" activeCellId="1" sqref="C61:D61 E51"/>
    </sheetView>
  </sheetViews>
  <sheetFormatPr defaultColWidth="8.6875" defaultRowHeight="14.25" zeroHeight="false" outlineLevelRow="0" outlineLevelCol="0"/>
  <cols>
    <col collapsed="false" customWidth="true" hidden="false" outlineLevel="0" max="6" min="1" style="0" width="18.66"/>
    <col collapsed="false" customWidth="true" hidden="false" outlineLevel="0" max="262" min="257" style="0" width="18.66"/>
    <col collapsed="false" customWidth="true" hidden="false" outlineLevel="0" max="518" min="513" style="0" width="18.66"/>
    <col collapsed="false" customWidth="true" hidden="false" outlineLevel="0" max="774" min="769" style="0" width="18.66"/>
  </cols>
  <sheetData>
    <row r="1" customFormat="false" ht="21" hidden="false" customHeight="false" outlineLevel="0" collapsed="false">
      <c r="A1" s="132" t="s">
        <v>161</v>
      </c>
      <c r="B1" s="132"/>
      <c r="C1" s="132"/>
      <c r="D1" s="132"/>
      <c r="E1" s="132"/>
      <c r="F1" s="132"/>
    </row>
    <row r="3" customFormat="false" ht="15" hidden="false" customHeight="false" outlineLevel="0" collapsed="false">
      <c r="A3" s="133" t="n">
        <v>0.2</v>
      </c>
      <c r="B3" s="133" t="n">
        <v>0.1</v>
      </c>
      <c r="C3" s="133" t="n">
        <v>0.05</v>
      </c>
      <c r="D3" s="133" t="n">
        <v>0.02</v>
      </c>
      <c r="E3" s="133" t="n">
        <v>0.01</v>
      </c>
      <c r="F3" s="108" t="s">
        <v>162</v>
      </c>
    </row>
    <row r="4" customFormat="false" ht="15" hidden="false" customHeight="false" outlineLevel="0" collapsed="false">
      <c r="A4" s="134" t="s">
        <v>163</v>
      </c>
      <c r="B4" s="134" t="s">
        <v>164</v>
      </c>
      <c r="C4" s="134" t="s">
        <v>165</v>
      </c>
      <c r="D4" s="134" t="s">
        <v>166</v>
      </c>
      <c r="E4" s="134" t="s">
        <v>167</v>
      </c>
      <c r="F4" s="134" t="s">
        <v>168</v>
      </c>
    </row>
    <row r="5" customFormat="false" ht="14.25" hidden="false" customHeight="false" outlineLevel="0" collapsed="false">
      <c r="A5" s="135" t="n">
        <v>100</v>
      </c>
      <c r="B5" s="136" t="n">
        <v>100</v>
      </c>
      <c r="C5" s="137" t="n">
        <v>100</v>
      </c>
      <c r="D5" s="138" t="n">
        <v>100</v>
      </c>
      <c r="E5" s="139" t="n">
        <v>100</v>
      </c>
      <c r="F5" s="140" t="n">
        <v>100</v>
      </c>
    </row>
    <row r="6" customFormat="false" ht="14.25" hidden="false" customHeight="false" outlineLevel="0" collapsed="false">
      <c r="A6" s="135"/>
      <c r="B6" s="136"/>
      <c r="C6" s="137"/>
      <c r="D6" s="138"/>
      <c r="E6" s="139"/>
      <c r="F6" s="140" t="n">
        <v>101</v>
      </c>
    </row>
    <row r="7" customFormat="false" ht="14.25" hidden="false" customHeight="false" outlineLevel="0" collapsed="false">
      <c r="A7" s="135"/>
      <c r="B7" s="136"/>
      <c r="C7" s="137"/>
      <c r="D7" s="138"/>
      <c r="E7" s="139" t="n">
        <v>102</v>
      </c>
      <c r="F7" s="140" t="n">
        <v>102</v>
      </c>
    </row>
    <row r="8" customFormat="false" ht="14.25" hidden="false" customHeight="false" outlineLevel="0" collapsed="false">
      <c r="A8" s="135"/>
      <c r="B8" s="136"/>
      <c r="C8" s="137"/>
      <c r="D8" s="138"/>
      <c r="E8" s="139"/>
      <c r="F8" s="140" t="n">
        <v>104</v>
      </c>
    </row>
    <row r="9" customFormat="false" ht="14.25" hidden="false" customHeight="false" outlineLevel="0" collapsed="false">
      <c r="A9" s="135"/>
      <c r="B9" s="136"/>
      <c r="C9" s="137"/>
      <c r="D9" s="138" t="n">
        <v>105</v>
      </c>
      <c r="E9" s="139" t="n">
        <v>105</v>
      </c>
      <c r="F9" s="140" t="n">
        <v>105</v>
      </c>
    </row>
    <row r="10" customFormat="false" ht="14.25" hidden="false" customHeight="false" outlineLevel="0" collapsed="false">
      <c r="A10" s="135"/>
      <c r="B10" s="136"/>
      <c r="C10" s="137"/>
      <c r="D10" s="138"/>
      <c r="E10" s="139"/>
      <c r="F10" s="140" t="n">
        <v>106</v>
      </c>
      <c r="I10" s="141"/>
    </row>
    <row r="11" customFormat="false" ht="14.25" hidden="false" customHeight="false" outlineLevel="0" collapsed="false">
      <c r="A11" s="135"/>
      <c r="B11" s="136"/>
      <c r="C11" s="137"/>
      <c r="D11" s="138"/>
      <c r="E11" s="139" t="n">
        <v>107</v>
      </c>
      <c r="F11" s="140" t="n">
        <v>107</v>
      </c>
    </row>
    <row r="12" customFormat="false" ht="14.25" hidden="false" customHeight="false" outlineLevel="0" collapsed="false">
      <c r="A12" s="135"/>
      <c r="B12" s="136"/>
      <c r="C12" s="137"/>
      <c r="D12" s="138"/>
      <c r="E12" s="139"/>
      <c r="F12" s="140" t="n">
        <v>109</v>
      </c>
    </row>
    <row r="13" customFormat="false" ht="14.25" hidden="false" customHeight="false" outlineLevel="0" collapsed="false">
      <c r="A13" s="135"/>
      <c r="B13" s="136"/>
      <c r="C13" s="137" t="n">
        <v>110</v>
      </c>
      <c r="D13" s="138" t="n">
        <v>110</v>
      </c>
      <c r="E13" s="139" t="n">
        <v>110</v>
      </c>
      <c r="F13" s="140" t="n">
        <v>110</v>
      </c>
    </row>
    <row r="14" customFormat="false" ht="14.25" hidden="false" customHeight="false" outlineLevel="0" collapsed="false">
      <c r="A14" s="135"/>
      <c r="B14" s="136"/>
      <c r="C14" s="137"/>
      <c r="D14" s="138"/>
      <c r="E14" s="139"/>
      <c r="F14" s="140" t="n">
        <v>111</v>
      </c>
    </row>
    <row r="15" customFormat="false" ht="14.25" hidden="false" customHeight="false" outlineLevel="0" collapsed="false">
      <c r="A15" s="135"/>
      <c r="B15" s="136"/>
      <c r="C15" s="137"/>
      <c r="D15" s="138"/>
      <c r="E15" s="139" t="n">
        <v>113</v>
      </c>
      <c r="F15" s="140" t="n">
        <v>113</v>
      </c>
    </row>
    <row r="16" customFormat="false" ht="14.25" hidden="false" customHeight="false" outlineLevel="0" collapsed="false">
      <c r="A16" s="135"/>
      <c r="B16" s="136"/>
      <c r="C16" s="137"/>
      <c r="D16" s="138"/>
      <c r="E16" s="139"/>
      <c r="F16" s="140" t="n">
        <v>114</v>
      </c>
    </row>
    <row r="17" customFormat="false" ht="14.25" hidden="false" customHeight="false" outlineLevel="0" collapsed="false">
      <c r="A17" s="135"/>
      <c r="B17" s="136"/>
      <c r="C17" s="137"/>
      <c r="D17" s="138" t="n">
        <v>115</v>
      </c>
      <c r="E17" s="139" t="n">
        <v>115</v>
      </c>
      <c r="F17" s="140" t="n">
        <v>115</v>
      </c>
    </row>
    <row r="18" customFormat="false" ht="14.25" hidden="false" customHeight="false" outlineLevel="0" collapsed="false">
      <c r="A18" s="135"/>
      <c r="B18" s="136"/>
      <c r="C18" s="137"/>
      <c r="D18" s="138"/>
      <c r="E18" s="139"/>
      <c r="F18" s="140" t="n">
        <v>117</v>
      </c>
    </row>
    <row r="19" customFormat="false" ht="14.25" hidden="false" customHeight="false" outlineLevel="0" collapsed="false">
      <c r="A19" s="135"/>
      <c r="B19" s="136"/>
      <c r="C19" s="137"/>
      <c r="D19" s="138"/>
      <c r="E19" s="139" t="n">
        <v>118</v>
      </c>
      <c r="F19" s="140" t="n">
        <v>118</v>
      </c>
    </row>
    <row r="20" customFormat="false" ht="14.25" hidden="false" customHeight="false" outlineLevel="0" collapsed="false">
      <c r="A20" s="135"/>
      <c r="B20" s="136"/>
      <c r="C20" s="137"/>
      <c r="D20" s="138"/>
      <c r="E20" s="139"/>
      <c r="F20" s="140" t="n">
        <v>120</v>
      </c>
    </row>
    <row r="21" customFormat="false" ht="14.25" hidden="false" customHeight="false" outlineLevel="0" collapsed="false">
      <c r="A21" s="135"/>
      <c r="B21" s="136" t="n">
        <v>120</v>
      </c>
      <c r="C21" s="137" t="n">
        <v>120</v>
      </c>
      <c r="D21" s="138" t="n">
        <v>121</v>
      </c>
      <c r="E21" s="139" t="n">
        <v>121</v>
      </c>
      <c r="F21" s="140" t="n">
        <v>121</v>
      </c>
    </row>
    <row r="22" customFormat="false" ht="14.25" hidden="false" customHeight="false" outlineLevel="0" collapsed="false">
      <c r="A22" s="135"/>
      <c r="B22" s="136"/>
      <c r="C22" s="137"/>
      <c r="D22" s="138"/>
      <c r="E22" s="139"/>
      <c r="F22" s="140" t="n">
        <v>123</v>
      </c>
    </row>
    <row r="23" customFormat="false" ht="14.25" hidden="false" customHeight="false" outlineLevel="0" collapsed="false">
      <c r="A23" s="135"/>
      <c r="B23" s="136"/>
      <c r="C23" s="137"/>
      <c r="D23" s="138"/>
      <c r="E23" s="139" t="n">
        <v>124</v>
      </c>
      <c r="F23" s="140" t="n">
        <v>124</v>
      </c>
    </row>
    <row r="24" customFormat="false" ht="14.25" hidden="false" customHeight="false" outlineLevel="0" collapsed="false">
      <c r="A24" s="135"/>
      <c r="B24" s="136"/>
      <c r="C24" s="137"/>
      <c r="D24" s="138"/>
      <c r="E24" s="139"/>
      <c r="F24" s="140" t="n">
        <v>126</v>
      </c>
    </row>
    <row r="25" customFormat="false" ht="14.25" hidden="false" customHeight="false" outlineLevel="0" collapsed="false">
      <c r="A25" s="135"/>
      <c r="B25" s="136"/>
      <c r="C25" s="137"/>
      <c r="D25" s="138" t="n">
        <v>127</v>
      </c>
      <c r="E25" s="139" t="n">
        <v>127</v>
      </c>
      <c r="F25" s="140" t="n">
        <v>127</v>
      </c>
    </row>
    <row r="26" customFormat="false" ht="14.25" hidden="false" customHeight="false" outlineLevel="0" collapsed="false">
      <c r="A26" s="135"/>
      <c r="B26" s="136"/>
      <c r="C26" s="137"/>
      <c r="D26" s="138"/>
      <c r="E26" s="139"/>
      <c r="F26" s="140" t="n">
        <v>129</v>
      </c>
    </row>
    <row r="27" customFormat="false" ht="14.25" hidden="false" customHeight="false" outlineLevel="0" collapsed="false">
      <c r="A27" s="135"/>
      <c r="B27" s="136"/>
      <c r="C27" s="137"/>
      <c r="D27" s="138"/>
      <c r="E27" s="139" t="n">
        <v>130</v>
      </c>
      <c r="F27" s="140" t="n">
        <v>130</v>
      </c>
    </row>
    <row r="28" customFormat="false" ht="14.25" hidden="false" customHeight="false" outlineLevel="0" collapsed="false">
      <c r="A28" s="135"/>
      <c r="B28" s="136"/>
      <c r="C28" s="137"/>
      <c r="D28" s="138"/>
      <c r="E28" s="139"/>
      <c r="F28" s="140" t="n">
        <v>132</v>
      </c>
    </row>
    <row r="29" customFormat="false" ht="14.25" hidden="false" customHeight="false" outlineLevel="0" collapsed="false">
      <c r="A29" s="135"/>
      <c r="B29" s="136"/>
      <c r="C29" s="137" t="n">
        <v>130</v>
      </c>
      <c r="D29" s="138" t="n">
        <v>133</v>
      </c>
      <c r="E29" s="139" t="n">
        <v>133</v>
      </c>
      <c r="F29" s="140" t="n">
        <v>133</v>
      </c>
    </row>
    <row r="30" customFormat="false" ht="14.25" hidden="false" customHeight="false" outlineLevel="0" collapsed="false">
      <c r="A30" s="135"/>
      <c r="B30" s="136"/>
      <c r="C30" s="137"/>
      <c r="D30" s="138"/>
      <c r="E30" s="139"/>
      <c r="F30" s="140" t="n">
        <v>135</v>
      </c>
    </row>
    <row r="31" customFormat="false" ht="14.25" hidden="false" customHeight="false" outlineLevel="0" collapsed="false">
      <c r="A31" s="135"/>
      <c r="B31" s="136"/>
      <c r="C31" s="137"/>
      <c r="D31" s="138"/>
      <c r="E31" s="139" t="n">
        <v>137</v>
      </c>
      <c r="F31" s="140" t="n">
        <v>137</v>
      </c>
    </row>
    <row r="32" customFormat="false" ht="14.25" hidden="false" customHeight="false" outlineLevel="0" collapsed="false">
      <c r="A32" s="135"/>
      <c r="B32" s="136"/>
      <c r="C32" s="137"/>
      <c r="D32" s="138"/>
      <c r="E32" s="139"/>
      <c r="F32" s="140" t="n">
        <v>138</v>
      </c>
    </row>
    <row r="33" customFormat="false" ht="14.25" hidden="false" customHeight="false" outlineLevel="0" collapsed="false">
      <c r="A33" s="135"/>
      <c r="B33" s="136"/>
      <c r="C33" s="137"/>
      <c r="D33" s="138" t="n">
        <v>140</v>
      </c>
      <c r="E33" s="139" t="n">
        <v>140</v>
      </c>
      <c r="F33" s="140" t="n">
        <v>140</v>
      </c>
    </row>
    <row r="34" customFormat="false" ht="14.25" hidden="false" customHeight="false" outlineLevel="0" collapsed="false">
      <c r="A34" s="135"/>
      <c r="B34" s="136"/>
      <c r="C34" s="137"/>
      <c r="D34" s="138"/>
      <c r="E34" s="139"/>
      <c r="F34" s="140" t="n">
        <v>142</v>
      </c>
    </row>
    <row r="35" customFormat="false" ht="14.25" hidden="false" customHeight="false" outlineLevel="0" collapsed="false">
      <c r="A35" s="135"/>
      <c r="B35" s="136"/>
      <c r="C35" s="137"/>
      <c r="D35" s="138"/>
      <c r="E35" s="139" t="n">
        <v>143</v>
      </c>
      <c r="F35" s="140" t="n">
        <v>143</v>
      </c>
    </row>
    <row r="36" customFormat="false" ht="14.25" hidden="false" customHeight="false" outlineLevel="0" collapsed="false">
      <c r="A36" s="135"/>
      <c r="B36" s="136"/>
      <c r="C36" s="137"/>
      <c r="D36" s="138"/>
      <c r="E36" s="139"/>
      <c r="F36" s="140" t="n">
        <v>145</v>
      </c>
    </row>
    <row r="37" customFormat="false" ht="14.25" hidden="false" customHeight="false" outlineLevel="0" collapsed="false">
      <c r="A37" s="135" t="n">
        <v>150</v>
      </c>
      <c r="B37" s="136" t="n">
        <v>150</v>
      </c>
      <c r="C37" s="137" t="n">
        <v>150</v>
      </c>
      <c r="D37" s="138" t="n">
        <v>147</v>
      </c>
      <c r="E37" s="139" t="n">
        <v>147</v>
      </c>
      <c r="F37" s="140" t="n">
        <v>147</v>
      </c>
    </row>
    <row r="38" customFormat="false" ht="14.25" hidden="false" customHeight="false" outlineLevel="0" collapsed="false">
      <c r="A38" s="135"/>
      <c r="B38" s="136"/>
      <c r="C38" s="137"/>
      <c r="D38" s="138"/>
      <c r="E38" s="139"/>
      <c r="F38" s="140" t="n">
        <v>149</v>
      </c>
    </row>
    <row r="39" customFormat="false" ht="14.25" hidden="false" customHeight="false" outlineLevel="0" collapsed="false">
      <c r="A39" s="135"/>
      <c r="B39" s="136"/>
      <c r="C39" s="137"/>
      <c r="D39" s="138"/>
      <c r="E39" s="139" t="n">
        <v>150</v>
      </c>
      <c r="F39" s="140" t="n">
        <v>150</v>
      </c>
    </row>
    <row r="40" customFormat="false" ht="14.25" hidden="false" customHeight="false" outlineLevel="0" collapsed="false">
      <c r="A40" s="135"/>
      <c r="B40" s="136"/>
      <c r="C40" s="137"/>
      <c r="D40" s="138"/>
      <c r="E40" s="139"/>
      <c r="F40" s="140" t="n">
        <v>152</v>
      </c>
    </row>
    <row r="41" customFormat="false" ht="14.25" hidden="false" customHeight="false" outlineLevel="0" collapsed="false">
      <c r="A41" s="135"/>
      <c r="B41" s="136"/>
      <c r="C41" s="137"/>
      <c r="D41" s="138" t="n">
        <v>154</v>
      </c>
      <c r="E41" s="139" t="n">
        <v>154</v>
      </c>
      <c r="F41" s="140" t="n">
        <v>154</v>
      </c>
    </row>
    <row r="42" customFormat="false" ht="14.25" hidden="false" customHeight="false" outlineLevel="0" collapsed="false">
      <c r="A42" s="135"/>
      <c r="B42" s="136"/>
      <c r="C42" s="137"/>
      <c r="D42" s="138"/>
      <c r="E42" s="139"/>
      <c r="F42" s="140" t="n">
        <v>156</v>
      </c>
    </row>
    <row r="43" customFormat="false" ht="14.25" hidden="false" customHeight="false" outlineLevel="0" collapsed="false">
      <c r="A43" s="135"/>
      <c r="B43" s="136"/>
      <c r="C43" s="137"/>
      <c r="D43" s="138"/>
      <c r="E43" s="139" t="n">
        <v>158</v>
      </c>
      <c r="F43" s="140" t="n">
        <v>158</v>
      </c>
    </row>
    <row r="44" customFormat="false" ht="14.25" hidden="false" customHeight="false" outlineLevel="0" collapsed="false">
      <c r="A44" s="135"/>
      <c r="B44" s="136"/>
      <c r="C44" s="137"/>
      <c r="D44" s="138"/>
      <c r="E44" s="139"/>
      <c r="F44" s="140" t="n">
        <v>160</v>
      </c>
    </row>
    <row r="45" customFormat="false" ht="14.25" hidden="false" customHeight="false" outlineLevel="0" collapsed="false">
      <c r="A45" s="135"/>
      <c r="B45" s="136"/>
      <c r="C45" s="137" t="n">
        <v>160</v>
      </c>
      <c r="D45" s="138" t="n">
        <v>162</v>
      </c>
      <c r="E45" s="139" t="n">
        <v>162</v>
      </c>
      <c r="F45" s="140" t="n">
        <v>162</v>
      </c>
    </row>
    <row r="46" customFormat="false" ht="14.25" hidden="false" customHeight="false" outlineLevel="0" collapsed="false">
      <c r="A46" s="135"/>
      <c r="B46" s="136"/>
      <c r="C46" s="137"/>
      <c r="D46" s="138"/>
      <c r="E46" s="139"/>
      <c r="F46" s="140" t="n">
        <v>164</v>
      </c>
    </row>
    <row r="47" customFormat="false" ht="14.25" hidden="false" customHeight="false" outlineLevel="0" collapsed="false">
      <c r="A47" s="135"/>
      <c r="B47" s="136"/>
      <c r="C47" s="137"/>
      <c r="D47" s="138"/>
      <c r="E47" s="139" t="n">
        <v>165</v>
      </c>
      <c r="F47" s="140" t="n">
        <v>165</v>
      </c>
    </row>
    <row r="48" customFormat="false" ht="14.25" hidden="false" customHeight="false" outlineLevel="0" collapsed="false">
      <c r="A48" s="135"/>
      <c r="B48" s="136"/>
      <c r="C48" s="137"/>
      <c r="D48" s="138"/>
      <c r="E48" s="139"/>
      <c r="F48" s="140" t="n">
        <v>167</v>
      </c>
    </row>
    <row r="49" customFormat="false" ht="14.25" hidden="false" customHeight="false" outlineLevel="0" collapsed="false">
      <c r="A49" s="135"/>
      <c r="B49" s="136"/>
      <c r="C49" s="137"/>
      <c r="D49" s="138" t="n">
        <v>169</v>
      </c>
      <c r="E49" s="139" t="n">
        <v>169</v>
      </c>
      <c r="F49" s="140" t="n">
        <v>169</v>
      </c>
    </row>
    <row r="50" customFormat="false" ht="14.25" hidden="false" customHeight="false" outlineLevel="0" collapsed="false">
      <c r="A50" s="135"/>
      <c r="B50" s="136"/>
      <c r="C50" s="137"/>
      <c r="D50" s="138"/>
      <c r="E50" s="139"/>
      <c r="F50" s="140" t="n">
        <v>172</v>
      </c>
    </row>
    <row r="51" customFormat="false" ht="14.25" hidden="false" customHeight="false" outlineLevel="0" collapsed="false">
      <c r="A51" s="135"/>
      <c r="B51" s="136"/>
      <c r="C51" s="137"/>
      <c r="D51" s="138"/>
      <c r="E51" s="139" t="n">
        <v>174</v>
      </c>
      <c r="F51" s="140" t="n">
        <v>174</v>
      </c>
    </row>
    <row r="52" customFormat="false" ht="14.25" hidden="false" customHeight="false" outlineLevel="0" collapsed="false">
      <c r="A52" s="135"/>
      <c r="B52" s="136"/>
      <c r="C52" s="137"/>
      <c r="D52" s="138"/>
      <c r="E52" s="139"/>
      <c r="F52" s="140" t="n">
        <v>176</v>
      </c>
    </row>
    <row r="53" customFormat="false" ht="14.25" hidden="false" customHeight="false" outlineLevel="0" collapsed="false">
      <c r="A53" s="135"/>
      <c r="B53" s="136" t="n">
        <v>180</v>
      </c>
      <c r="C53" s="137" t="n">
        <v>180</v>
      </c>
      <c r="D53" s="138" t="n">
        <v>178</v>
      </c>
      <c r="E53" s="139" t="n">
        <v>178</v>
      </c>
      <c r="F53" s="140" t="n">
        <v>178</v>
      </c>
    </row>
    <row r="54" customFormat="false" ht="14.25" hidden="false" customHeight="false" outlineLevel="0" collapsed="false">
      <c r="A54" s="135"/>
      <c r="B54" s="136"/>
      <c r="C54" s="137"/>
      <c r="D54" s="138"/>
      <c r="E54" s="139"/>
      <c r="F54" s="140" t="n">
        <v>180</v>
      </c>
    </row>
    <row r="55" customFormat="false" ht="14.25" hidden="false" customHeight="false" outlineLevel="0" collapsed="false">
      <c r="A55" s="135"/>
      <c r="B55" s="136"/>
      <c r="C55" s="137"/>
      <c r="D55" s="138"/>
      <c r="E55" s="139" t="n">
        <v>182</v>
      </c>
      <c r="F55" s="140" t="n">
        <v>182</v>
      </c>
    </row>
    <row r="56" customFormat="false" ht="14.25" hidden="false" customHeight="false" outlineLevel="0" collapsed="false">
      <c r="A56" s="135"/>
      <c r="B56" s="136"/>
      <c r="C56" s="137"/>
      <c r="D56" s="138"/>
      <c r="E56" s="139"/>
      <c r="F56" s="140" t="n">
        <v>184</v>
      </c>
    </row>
    <row r="57" customFormat="false" ht="14.25" hidden="false" customHeight="false" outlineLevel="0" collapsed="false">
      <c r="A57" s="135"/>
      <c r="B57" s="136"/>
      <c r="C57" s="137"/>
      <c r="D57" s="138" t="n">
        <v>187</v>
      </c>
      <c r="E57" s="139" t="n">
        <v>187</v>
      </c>
      <c r="F57" s="140" t="n">
        <v>187</v>
      </c>
    </row>
    <row r="58" customFormat="false" ht="14.25" hidden="false" customHeight="false" outlineLevel="0" collapsed="false">
      <c r="A58" s="135"/>
      <c r="B58" s="136"/>
      <c r="C58" s="137"/>
      <c r="D58" s="138"/>
      <c r="E58" s="139"/>
      <c r="F58" s="140" t="n">
        <v>189</v>
      </c>
    </row>
    <row r="59" customFormat="false" ht="14.25" hidden="false" customHeight="false" outlineLevel="0" collapsed="false">
      <c r="A59" s="135"/>
      <c r="B59" s="136"/>
      <c r="C59" s="137"/>
      <c r="D59" s="138"/>
      <c r="E59" s="139" t="n">
        <v>191</v>
      </c>
      <c r="F59" s="140" t="n">
        <v>191</v>
      </c>
    </row>
    <row r="60" customFormat="false" ht="14.25" hidden="false" customHeight="false" outlineLevel="0" collapsed="false">
      <c r="A60" s="135"/>
      <c r="B60" s="136"/>
      <c r="C60" s="137"/>
      <c r="D60" s="138"/>
      <c r="E60" s="139"/>
      <c r="F60" s="140" t="n">
        <v>193</v>
      </c>
    </row>
    <row r="61" customFormat="false" ht="14.25" hidden="false" customHeight="false" outlineLevel="0" collapsed="false">
      <c r="A61" s="135"/>
      <c r="B61" s="136"/>
      <c r="C61" s="137" t="n">
        <v>200</v>
      </c>
      <c r="D61" s="138" t="n">
        <v>196</v>
      </c>
      <c r="E61" s="139" t="n">
        <v>196</v>
      </c>
      <c r="F61" s="140" t="n">
        <v>196</v>
      </c>
    </row>
    <row r="62" customFormat="false" ht="14.25" hidden="false" customHeight="false" outlineLevel="0" collapsed="false">
      <c r="A62" s="135"/>
      <c r="B62" s="136"/>
      <c r="C62" s="137"/>
      <c r="D62" s="138"/>
      <c r="E62" s="139"/>
      <c r="F62" s="140" t="n">
        <v>198</v>
      </c>
    </row>
    <row r="63" customFormat="false" ht="14.25" hidden="false" customHeight="false" outlineLevel="0" collapsed="false">
      <c r="A63" s="135"/>
      <c r="B63" s="136"/>
      <c r="C63" s="137"/>
      <c r="D63" s="138"/>
      <c r="E63" s="139" t="n">
        <v>200</v>
      </c>
      <c r="F63" s="140" t="n">
        <v>200</v>
      </c>
    </row>
    <row r="64" customFormat="false" ht="14.25" hidden="false" customHeight="false" outlineLevel="0" collapsed="false">
      <c r="A64" s="135"/>
      <c r="B64" s="136"/>
      <c r="C64" s="137"/>
      <c r="D64" s="138"/>
      <c r="E64" s="139"/>
      <c r="F64" s="140" t="n">
        <v>203</v>
      </c>
    </row>
    <row r="65" customFormat="false" ht="14.25" hidden="false" customHeight="false" outlineLevel="0" collapsed="false">
      <c r="A65" s="135"/>
      <c r="B65" s="136"/>
      <c r="C65" s="137"/>
      <c r="D65" s="138" t="n">
        <v>205</v>
      </c>
      <c r="E65" s="139" t="n">
        <v>205</v>
      </c>
      <c r="F65" s="140" t="n">
        <v>205</v>
      </c>
    </row>
    <row r="66" customFormat="false" ht="14.25" hidden="false" customHeight="false" outlineLevel="0" collapsed="false">
      <c r="A66" s="135"/>
      <c r="B66" s="136"/>
      <c r="C66" s="137"/>
      <c r="D66" s="138"/>
      <c r="E66" s="139"/>
      <c r="F66" s="140" t="n">
        <v>208</v>
      </c>
    </row>
    <row r="67" customFormat="false" ht="14.25" hidden="false" customHeight="false" outlineLevel="0" collapsed="false">
      <c r="A67" s="135"/>
      <c r="B67" s="136"/>
      <c r="C67" s="137"/>
      <c r="D67" s="138"/>
      <c r="E67" s="139" t="n">
        <v>210</v>
      </c>
      <c r="F67" s="140" t="n">
        <v>210</v>
      </c>
    </row>
    <row r="68" customFormat="false" ht="14.25" hidden="false" customHeight="false" outlineLevel="0" collapsed="false">
      <c r="A68" s="135"/>
      <c r="B68" s="136"/>
      <c r="C68" s="137"/>
      <c r="D68" s="138"/>
      <c r="E68" s="139"/>
      <c r="F68" s="140" t="n">
        <v>213</v>
      </c>
    </row>
    <row r="69" customFormat="false" ht="14.25" hidden="false" customHeight="false" outlineLevel="0" collapsed="false">
      <c r="A69" s="135" t="n">
        <v>220</v>
      </c>
      <c r="B69" s="136" t="n">
        <v>220</v>
      </c>
      <c r="C69" s="137" t="n">
        <v>220</v>
      </c>
      <c r="D69" s="138" t="n">
        <v>215</v>
      </c>
      <c r="E69" s="139" t="n">
        <v>215</v>
      </c>
      <c r="F69" s="140" t="n">
        <v>215</v>
      </c>
    </row>
    <row r="70" customFormat="false" ht="14.25" hidden="false" customHeight="false" outlineLevel="0" collapsed="false">
      <c r="A70" s="135"/>
      <c r="B70" s="136"/>
      <c r="C70" s="137"/>
      <c r="D70" s="138"/>
      <c r="E70" s="139"/>
      <c r="F70" s="140" t="n">
        <v>218</v>
      </c>
    </row>
    <row r="71" customFormat="false" ht="14.25" hidden="false" customHeight="false" outlineLevel="0" collapsed="false">
      <c r="A71" s="135"/>
      <c r="B71" s="136"/>
      <c r="C71" s="137"/>
      <c r="D71" s="138"/>
      <c r="E71" s="139" t="n">
        <v>221</v>
      </c>
      <c r="F71" s="140" t="n">
        <v>221</v>
      </c>
    </row>
    <row r="72" customFormat="false" ht="14.25" hidden="false" customHeight="false" outlineLevel="0" collapsed="false">
      <c r="A72" s="135"/>
      <c r="B72" s="136"/>
      <c r="C72" s="137"/>
      <c r="D72" s="138"/>
      <c r="E72" s="139"/>
      <c r="F72" s="140" t="n">
        <v>223</v>
      </c>
    </row>
    <row r="73" customFormat="false" ht="14.25" hidden="false" customHeight="false" outlineLevel="0" collapsed="false">
      <c r="A73" s="135"/>
      <c r="B73" s="136"/>
      <c r="C73" s="137"/>
      <c r="D73" s="138" t="n">
        <v>226</v>
      </c>
      <c r="E73" s="139" t="n">
        <v>226</v>
      </c>
      <c r="F73" s="140" t="n">
        <v>226</v>
      </c>
    </row>
    <row r="74" customFormat="false" ht="14.25" hidden="false" customHeight="false" outlineLevel="0" collapsed="false">
      <c r="A74" s="135"/>
      <c r="B74" s="136"/>
      <c r="C74" s="137"/>
      <c r="D74" s="138"/>
      <c r="E74" s="139"/>
      <c r="F74" s="140" t="n">
        <v>229</v>
      </c>
    </row>
    <row r="75" customFormat="false" ht="14.25" hidden="false" customHeight="false" outlineLevel="0" collapsed="false">
      <c r="A75" s="135"/>
      <c r="B75" s="136"/>
      <c r="C75" s="137"/>
      <c r="D75" s="138"/>
      <c r="E75" s="139" t="n">
        <v>232</v>
      </c>
      <c r="F75" s="140" t="n">
        <v>232</v>
      </c>
    </row>
    <row r="76" customFormat="false" ht="14.25" hidden="false" customHeight="false" outlineLevel="0" collapsed="false">
      <c r="A76" s="135"/>
      <c r="B76" s="136"/>
      <c r="C76" s="137"/>
      <c r="D76" s="138"/>
      <c r="E76" s="139"/>
      <c r="F76" s="140" t="n">
        <v>234</v>
      </c>
    </row>
    <row r="77" customFormat="false" ht="14.25" hidden="false" customHeight="false" outlineLevel="0" collapsed="false">
      <c r="A77" s="135"/>
      <c r="B77" s="136"/>
      <c r="C77" s="137" t="n">
        <v>240</v>
      </c>
      <c r="D77" s="138" t="n">
        <v>237</v>
      </c>
      <c r="E77" s="139" t="n">
        <v>237</v>
      </c>
      <c r="F77" s="140" t="n">
        <v>237</v>
      </c>
    </row>
    <row r="78" customFormat="false" ht="14.25" hidden="false" customHeight="false" outlineLevel="0" collapsed="false">
      <c r="A78" s="135"/>
      <c r="B78" s="136"/>
      <c r="C78" s="137"/>
      <c r="D78" s="138"/>
      <c r="E78" s="139"/>
      <c r="F78" s="140" t="n">
        <v>240</v>
      </c>
    </row>
    <row r="79" customFormat="false" ht="14.25" hidden="false" customHeight="false" outlineLevel="0" collapsed="false">
      <c r="A79" s="135"/>
      <c r="B79" s="136"/>
      <c r="C79" s="137"/>
      <c r="D79" s="138"/>
      <c r="E79" s="139" t="n">
        <v>243</v>
      </c>
      <c r="F79" s="140" t="n">
        <v>243</v>
      </c>
    </row>
    <row r="80" customFormat="false" ht="14.25" hidden="false" customHeight="false" outlineLevel="0" collapsed="false">
      <c r="A80" s="135"/>
      <c r="B80" s="136"/>
      <c r="C80" s="137"/>
      <c r="D80" s="138"/>
      <c r="E80" s="139"/>
      <c r="F80" s="140" t="n">
        <v>246</v>
      </c>
    </row>
    <row r="81" customFormat="false" ht="14.25" hidden="false" customHeight="false" outlineLevel="0" collapsed="false">
      <c r="A81" s="135"/>
      <c r="B81" s="136"/>
      <c r="C81" s="137"/>
      <c r="D81" s="138" t="n">
        <v>249</v>
      </c>
      <c r="E81" s="139" t="n">
        <v>249</v>
      </c>
      <c r="F81" s="140" t="n">
        <v>249</v>
      </c>
    </row>
    <row r="82" customFormat="false" ht="14.25" hidden="false" customHeight="false" outlineLevel="0" collapsed="false">
      <c r="A82" s="135"/>
      <c r="B82" s="136"/>
      <c r="C82" s="137"/>
      <c r="D82" s="138"/>
      <c r="E82" s="139"/>
      <c r="F82" s="140" t="n">
        <v>252</v>
      </c>
    </row>
    <row r="83" customFormat="false" ht="14.25" hidden="false" customHeight="false" outlineLevel="0" collapsed="false">
      <c r="A83" s="135"/>
      <c r="B83" s="136"/>
      <c r="C83" s="137"/>
      <c r="D83" s="138"/>
      <c r="E83" s="139" t="n">
        <v>255</v>
      </c>
      <c r="F83" s="140" t="n">
        <v>255</v>
      </c>
    </row>
    <row r="84" customFormat="false" ht="14.25" hidden="false" customHeight="false" outlineLevel="0" collapsed="false">
      <c r="A84" s="135"/>
      <c r="B84" s="136"/>
      <c r="C84" s="137"/>
      <c r="D84" s="138"/>
      <c r="E84" s="139"/>
      <c r="F84" s="140" t="n">
        <v>258</v>
      </c>
    </row>
    <row r="85" customFormat="false" ht="14.25" hidden="false" customHeight="false" outlineLevel="0" collapsed="false">
      <c r="A85" s="135"/>
      <c r="B85" s="136" t="n">
        <v>270</v>
      </c>
      <c r="C85" s="137" t="n">
        <v>270</v>
      </c>
      <c r="D85" s="138" t="n">
        <v>261</v>
      </c>
      <c r="E85" s="139" t="n">
        <v>261</v>
      </c>
      <c r="F85" s="140" t="n">
        <v>261</v>
      </c>
    </row>
    <row r="86" customFormat="false" ht="14.25" hidden="false" customHeight="false" outlineLevel="0" collapsed="false">
      <c r="A86" s="135"/>
      <c r="B86" s="136"/>
      <c r="C86" s="137"/>
      <c r="D86" s="138"/>
      <c r="E86" s="139"/>
      <c r="F86" s="140" t="n">
        <v>264</v>
      </c>
    </row>
    <row r="87" customFormat="false" ht="14.25" hidden="false" customHeight="false" outlineLevel="0" collapsed="false">
      <c r="A87" s="135"/>
      <c r="B87" s="136"/>
      <c r="C87" s="137"/>
      <c r="D87" s="138"/>
      <c r="E87" s="139" t="n">
        <v>267</v>
      </c>
      <c r="F87" s="140" t="n">
        <v>267</v>
      </c>
    </row>
    <row r="88" customFormat="false" ht="14.25" hidden="false" customHeight="false" outlineLevel="0" collapsed="false">
      <c r="A88" s="135"/>
      <c r="B88" s="136"/>
      <c r="C88" s="137"/>
      <c r="D88" s="138"/>
      <c r="E88" s="139"/>
      <c r="F88" s="140" t="n">
        <v>271</v>
      </c>
    </row>
    <row r="89" customFormat="false" ht="14.25" hidden="false" customHeight="false" outlineLevel="0" collapsed="false">
      <c r="A89" s="135"/>
      <c r="B89" s="136"/>
      <c r="C89" s="137"/>
      <c r="D89" s="138" t="n">
        <v>274</v>
      </c>
      <c r="E89" s="139" t="n">
        <v>274</v>
      </c>
      <c r="F89" s="140" t="n">
        <v>274</v>
      </c>
    </row>
    <row r="90" customFormat="false" ht="14.25" hidden="false" customHeight="false" outlineLevel="0" collapsed="false">
      <c r="A90" s="135"/>
      <c r="B90" s="136"/>
      <c r="C90" s="137"/>
      <c r="D90" s="138"/>
      <c r="E90" s="139"/>
      <c r="F90" s="140" t="n">
        <v>277</v>
      </c>
    </row>
    <row r="91" customFormat="false" ht="14.25" hidden="false" customHeight="false" outlineLevel="0" collapsed="false">
      <c r="A91" s="135"/>
      <c r="B91" s="136"/>
      <c r="C91" s="137"/>
      <c r="D91" s="138"/>
      <c r="E91" s="139" t="n">
        <v>280</v>
      </c>
      <c r="F91" s="140" t="n">
        <v>280</v>
      </c>
    </row>
    <row r="92" customFormat="false" ht="14.25" hidden="false" customHeight="false" outlineLevel="0" collapsed="false">
      <c r="A92" s="135"/>
      <c r="B92" s="136"/>
      <c r="C92" s="137"/>
      <c r="D92" s="138"/>
      <c r="E92" s="139"/>
      <c r="F92" s="140" t="n">
        <v>284</v>
      </c>
    </row>
    <row r="93" customFormat="false" ht="14.25" hidden="false" customHeight="false" outlineLevel="0" collapsed="false">
      <c r="A93" s="135"/>
      <c r="B93" s="136"/>
      <c r="C93" s="137" t="n">
        <v>300</v>
      </c>
      <c r="D93" s="138" t="n">
        <v>287</v>
      </c>
      <c r="E93" s="139" t="n">
        <v>287</v>
      </c>
      <c r="F93" s="140" t="n">
        <v>287</v>
      </c>
    </row>
    <row r="94" customFormat="false" ht="14.25" hidden="false" customHeight="false" outlineLevel="0" collapsed="false">
      <c r="A94" s="135"/>
      <c r="B94" s="136"/>
      <c r="C94" s="137"/>
      <c r="D94" s="138"/>
      <c r="E94" s="139"/>
      <c r="F94" s="140" t="n">
        <v>291</v>
      </c>
    </row>
    <row r="95" customFormat="false" ht="14.25" hidden="false" customHeight="false" outlineLevel="0" collapsed="false">
      <c r="A95" s="135"/>
      <c r="B95" s="136"/>
      <c r="C95" s="137"/>
      <c r="D95" s="138"/>
      <c r="E95" s="139" t="n">
        <v>294</v>
      </c>
      <c r="F95" s="140" t="n">
        <v>294</v>
      </c>
    </row>
    <row r="96" customFormat="false" ht="14.25" hidden="false" customHeight="false" outlineLevel="0" collapsed="false">
      <c r="A96" s="135"/>
      <c r="B96" s="136"/>
      <c r="C96" s="137"/>
      <c r="D96" s="138"/>
      <c r="E96" s="139"/>
      <c r="F96" s="140" t="n">
        <v>298</v>
      </c>
    </row>
    <row r="97" customFormat="false" ht="14.25" hidden="false" customHeight="false" outlineLevel="0" collapsed="false">
      <c r="A97" s="135"/>
      <c r="B97" s="136"/>
      <c r="C97" s="137"/>
      <c r="D97" s="138" t="n">
        <v>301</v>
      </c>
      <c r="E97" s="139" t="n">
        <v>301</v>
      </c>
      <c r="F97" s="140" t="n">
        <v>301</v>
      </c>
    </row>
    <row r="98" customFormat="false" ht="14.25" hidden="false" customHeight="false" outlineLevel="0" collapsed="false">
      <c r="A98" s="135"/>
      <c r="B98" s="136"/>
      <c r="C98" s="137"/>
      <c r="D98" s="138"/>
      <c r="E98" s="139"/>
      <c r="F98" s="140" t="n">
        <v>305</v>
      </c>
    </row>
    <row r="99" customFormat="false" ht="14.25" hidden="false" customHeight="false" outlineLevel="0" collapsed="false">
      <c r="A99" s="135"/>
      <c r="B99" s="136"/>
      <c r="C99" s="137"/>
      <c r="D99" s="138"/>
      <c r="E99" s="139" t="n">
        <v>309</v>
      </c>
      <c r="F99" s="140" t="n">
        <v>309</v>
      </c>
    </row>
    <row r="100" customFormat="false" ht="14.25" hidden="false" customHeight="false" outlineLevel="0" collapsed="false">
      <c r="A100" s="135"/>
      <c r="B100" s="136"/>
      <c r="C100" s="137"/>
      <c r="D100" s="138"/>
      <c r="E100" s="139"/>
      <c r="F100" s="140" t="n">
        <v>312</v>
      </c>
    </row>
    <row r="101" customFormat="false" ht="14.25" hidden="false" customHeight="false" outlineLevel="0" collapsed="false">
      <c r="A101" s="135" t="n">
        <v>330</v>
      </c>
      <c r="B101" s="136" t="n">
        <v>330</v>
      </c>
      <c r="C101" s="137" t="n">
        <v>330</v>
      </c>
      <c r="D101" s="138" t="n">
        <v>316</v>
      </c>
      <c r="E101" s="139" t="n">
        <v>316</v>
      </c>
      <c r="F101" s="140" t="n">
        <v>316</v>
      </c>
    </row>
    <row r="102" customFormat="false" ht="14.25" hidden="false" customHeight="false" outlineLevel="0" collapsed="false">
      <c r="A102" s="135"/>
      <c r="B102" s="136"/>
      <c r="C102" s="137"/>
      <c r="D102" s="138"/>
      <c r="E102" s="139"/>
      <c r="F102" s="140" t="n">
        <v>320</v>
      </c>
    </row>
    <row r="103" customFormat="false" ht="14.25" hidden="false" customHeight="false" outlineLevel="0" collapsed="false">
      <c r="A103" s="135"/>
      <c r="B103" s="136"/>
      <c r="C103" s="137"/>
      <c r="D103" s="138"/>
      <c r="E103" s="139" t="n">
        <v>324</v>
      </c>
      <c r="F103" s="140" t="n">
        <v>324</v>
      </c>
    </row>
    <row r="104" customFormat="false" ht="14.25" hidden="false" customHeight="false" outlineLevel="0" collapsed="false">
      <c r="A104" s="135"/>
      <c r="B104" s="136"/>
      <c r="C104" s="137"/>
      <c r="D104" s="138"/>
      <c r="E104" s="139"/>
      <c r="F104" s="140" t="n">
        <v>328</v>
      </c>
    </row>
    <row r="105" customFormat="false" ht="14.25" hidden="false" customHeight="false" outlineLevel="0" collapsed="false">
      <c r="A105" s="135"/>
      <c r="B105" s="136"/>
      <c r="C105" s="137"/>
      <c r="D105" s="138" t="n">
        <v>332</v>
      </c>
      <c r="E105" s="139" t="n">
        <v>332</v>
      </c>
      <c r="F105" s="140" t="n">
        <v>332</v>
      </c>
    </row>
    <row r="106" customFormat="false" ht="14.25" hidden="false" customHeight="false" outlineLevel="0" collapsed="false">
      <c r="A106" s="135"/>
      <c r="B106" s="136"/>
      <c r="C106" s="137"/>
      <c r="D106" s="138"/>
      <c r="E106" s="139"/>
      <c r="F106" s="140" t="n">
        <v>336</v>
      </c>
    </row>
    <row r="107" customFormat="false" ht="14.25" hidden="false" customHeight="false" outlineLevel="0" collapsed="false">
      <c r="A107" s="135"/>
      <c r="B107" s="136"/>
      <c r="C107" s="137"/>
      <c r="D107" s="138"/>
      <c r="E107" s="139" t="n">
        <v>340</v>
      </c>
      <c r="F107" s="140" t="n">
        <v>340</v>
      </c>
    </row>
    <row r="108" customFormat="false" ht="14.25" hidden="false" customHeight="false" outlineLevel="0" collapsed="false">
      <c r="A108" s="135"/>
      <c r="B108" s="136"/>
      <c r="C108" s="137"/>
      <c r="D108" s="138"/>
      <c r="E108" s="139"/>
      <c r="F108" s="140" t="n">
        <v>344</v>
      </c>
    </row>
    <row r="109" customFormat="false" ht="14.25" hidden="false" customHeight="false" outlineLevel="0" collapsed="false">
      <c r="A109" s="135"/>
      <c r="B109" s="136"/>
      <c r="C109" s="137" t="n">
        <v>360</v>
      </c>
      <c r="D109" s="138" t="n">
        <v>348</v>
      </c>
      <c r="E109" s="139" t="n">
        <v>348</v>
      </c>
      <c r="F109" s="140" t="n">
        <v>348</v>
      </c>
    </row>
    <row r="110" customFormat="false" ht="14.25" hidden="false" customHeight="false" outlineLevel="0" collapsed="false">
      <c r="A110" s="135"/>
      <c r="B110" s="136"/>
      <c r="C110" s="137"/>
      <c r="D110" s="138"/>
      <c r="E110" s="139"/>
      <c r="F110" s="140" t="n">
        <v>352</v>
      </c>
    </row>
    <row r="111" customFormat="false" ht="14.25" hidden="false" customHeight="false" outlineLevel="0" collapsed="false">
      <c r="A111" s="135"/>
      <c r="B111" s="136"/>
      <c r="C111" s="137"/>
      <c r="D111" s="138"/>
      <c r="E111" s="139" t="n">
        <v>357</v>
      </c>
      <c r="F111" s="140" t="n">
        <v>357</v>
      </c>
    </row>
    <row r="112" customFormat="false" ht="14.25" hidden="false" customHeight="false" outlineLevel="0" collapsed="false">
      <c r="A112" s="135"/>
      <c r="B112" s="136"/>
      <c r="C112" s="137"/>
      <c r="D112" s="138"/>
      <c r="E112" s="139"/>
      <c r="F112" s="140" t="n">
        <v>361</v>
      </c>
    </row>
    <row r="113" customFormat="false" ht="14.25" hidden="false" customHeight="false" outlineLevel="0" collapsed="false">
      <c r="A113" s="135"/>
      <c r="B113" s="136"/>
      <c r="C113" s="137"/>
      <c r="D113" s="138" t="n">
        <v>365</v>
      </c>
      <c r="E113" s="139" t="n">
        <v>365</v>
      </c>
      <c r="F113" s="140" t="n">
        <v>365</v>
      </c>
    </row>
    <row r="114" customFormat="false" ht="14.25" hidden="false" customHeight="false" outlineLevel="0" collapsed="false">
      <c r="A114" s="135"/>
      <c r="B114" s="136"/>
      <c r="C114" s="137"/>
      <c r="D114" s="138"/>
      <c r="E114" s="139"/>
      <c r="F114" s="140" t="n">
        <v>370</v>
      </c>
    </row>
    <row r="115" customFormat="false" ht="14.25" hidden="false" customHeight="false" outlineLevel="0" collapsed="false">
      <c r="A115" s="135"/>
      <c r="B115" s="136"/>
      <c r="C115" s="137"/>
      <c r="D115" s="138"/>
      <c r="E115" s="139" t="n">
        <v>374</v>
      </c>
      <c r="F115" s="140" t="n">
        <v>374</v>
      </c>
    </row>
    <row r="116" customFormat="false" ht="14.25" hidden="false" customHeight="false" outlineLevel="0" collapsed="false">
      <c r="A116" s="135"/>
      <c r="B116" s="136"/>
      <c r="C116" s="137"/>
      <c r="D116" s="138"/>
      <c r="E116" s="139"/>
      <c r="F116" s="140" t="n">
        <v>379</v>
      </c>
    </row>
    <row r="117" customFormat="false" ht="14.25" hidden="false" customHeight="false" outlineLevel="0" collapsed="false">
      <c r="A117" s="135"/>
      <c r="B117" s="136" t="n">
        <v>390</v>
      </c>
      <c r="C117" s="137" t="n">
        <v>390</v>
      </c>
      <c r="D117" s="138" t="n">
        <v>383</v>
      </c>
      <c r="E117" s="139" t="n">
        <v>383</v>
      </c>
      <c r="F117" s="140" t="n">
        <v>383</v>
      </c>
    </row>
    <row r="118" customFormat="false" ht="14.25" hidden="false" customHeight="false" outlineLevel="0" collapsed="false">
      <c r="A118" s="135"/>
      <c r="B118" s="136"/>
      <c r="C118" s="137"/>
      <c r="D118" s="138"/>
      <c r="E118" s="139"/>
      <c r="F118" s="140" t="n">
        <v>388</v>
      </c>
    </row>
    <row r="119" customFormat="false" ht="14.25" hidden="false" customHeight="false" outlineLevel="0" collapsed="false">
      <c r="A119" s="135"/>
      <c r="B119" s="136"/>
      <c r="C119" s="137"/>
      <c r="D119" s="138"/>
      <c r="E119" s="139" t="n">
        <v>392</v>
      </c>
      <c r="F119" s="140" t="n">
        <v>392</v>
      </c>
    </row>
    <row r="120" customFormat="false" ht="14.25" hidden="false" customHeight="false" outlineLevel="0" collapsed="false">
      <c r="A120" s="135"/>
      <c r="B120" s="136"/>
      <c r="C120" s="137"/>
      <c r="D120" s="138"/>
      <c r="E120" s="139"/>
      <c r="F120" s="140" t="n">
        <v>397</v>
      </c>
    </row>
    <row r="121" customFormat="false" ht="14.25" hidden="false" customHeight="false" outlineLevel="0" collapsed="false">
      <c r="A121" s="135"/>
      <c r="B121" s="136"/>
      <c r="C121" s="137"/>
      <c r="D121" s="138" t="n">
        <v>402</v>
      </c>
      <c r="E121" s="139" t="n">
        <v>402</v>
      </c>
      <c r="F121" s="140" t="n">
        <v>402</v>
      </c>
    </row>
    <row r="122" customFormat="false" ht="14.25" hidden="false" customHeight="false" outlineLevel="0" collapsed="false">
      <c r="A122" s="135"/>
      <c r="B122" s="136"/>
      <c r="C122" s="137"/>
      <c r="D122" s="138"/>
      <c r="E122" s="139"/>
      <c r="F122" s="140" t="n">
        <v>407</v>
      </c>
    </row>
    <row r="123" customFormat="false" ht="14.25" hidden="false" customHeight="false" outlineLevel="0" collapsed="false">
      <c r="A123" s="135"/>
      <c r="B123" s="136"/>
      <c r="C123" s="137"/>
      <c r="D123" s="138"/>
      <c r="E123" s="139" t="n">
        <v>412</v>
      </c>
      <c r="F123" s="140" t="n">
        <v>412</v>
      </c>
    </row>
    <row r="124" customFormat="false" ht="14.25" hidden="false" customHeight="false" outlineLevel="0" collapsed="false">
      <c r="A124" s="135"/>
      <c r="B124" s="136"/>
      <c r="C124" s="137"/>
      <c r="D124" s="138"/>
      <c r="E124" s="139"/>
      <c r="F124" s="140" t="n">
        <v>417</v>
      </c>
    </row>
    <row r="125" customFormat="false" ht="14.25" hidden="false" customHeight="false" outlineLevel="0" collapsed="false">
      <c r="A125" s="135"/>
      <c r="B125" s="136"/>
      <c r="C125" s="137" t="n">
        <v>430</v>
      </c>
      <c r="D125" s="138" t="n">
        <v>422</v>
      </c>
      <c r="E125" s="139" t="n">
        <v>422</v>
      </c>
      <c r="F125" s="140" t="n">
        <v>422</v>
      </c>
    </row>
    <row r="126" customFormat="false" ht="14.25" hidden="false" customHeight="false" outlineLevel="0" collapsed="false">
      <c r="A126" s="135"/>
      <c r="B126" s="136"/>
      <c r="C126" s="137"/>
      <c r="D126" s="138"/>
      <c r="E126" s="139"/>
      <c r="F126" s="140" t="n">
        <v>427</v>
      </c>
    </row>
    <row r="127" customFormat="false" ht="14.25" hidden="false" customHeight="false" outlineLevel="0" collapsed="false">
      <c r="A127" s="135"/>
      <c r="B127" s="136"/>
      <c r="C127" s="137"/>
      <c r="D127" s="138"/>
      <c r="E127" s="139" t="n">
        <v>432</v>
      </c>
      <c r="F127" s="140" t="n">
        <v>432</v>
      </c>
    </row>
    <row r="128" customFormat="false" ht="14.25" hidden="false" customHeight="false" outlineLevel="0" collapsed="false">
      <c r="A128" s="135"/>
      <c r="B128" s="136"/>
      <c r="C128" s="137"/>
      <c r="D128" s="138"/>
      <c r="E128" s="139"/>
      <c r="F128" s="140" t="n">
        <v>437</v>
      </c>
    </row>
    <row r="129" customFormat="false" ht="14.25" hidden="false" customHeight="false" outlineLevel="0" collapsed="false">
      <c r="A129" s="135"/>
      <c r="B129" s="136"/>
      <c r="C129" s="137"/>
      <c r="D129" s="138" t="n">
        <v>442</v>
      </c>
      <c r="E129" s="139" t="n">
        <v>442</v>
      </c>
      <c r="F129" s="140" t="n">
        <v>442</v>
      </c>
    </row>
    <row r="130" customFormat="false" ht="14.25" hidden="false" customHeight="false" outlineLevel="0" collapsed="false">
      <c r="A130" s="135"/>
      <c r="B130" s="136"/>
      <c r="C130" s="137"/>
      <c r="D130" s="138"/>
      <c r="E130" s="139"/>
      <c r="F130" s="140" t="n">
        <v>448</v>
      </c>
    </row>
    <row r="131" customFormat="false" ht="14.25" hidden="false" customHeight="false" outlineLevel="0" collapsed="false">
      <c r="A131" s="135"/>
      <c r="B131" s="136"/>
      <c r="C131" s="137"/>
      <c r="D131" s="138"/>
      <c r="E131" s="139" t="n">
        <v>453</v>
      </c>
      <c r="F131" s="140" t="n">
        <v>453</v>
      </c>
    </row>
    <row r="132" customFormat="false" ht="14.25" hidden="false" customHeight="false" outlineLevel="0" collapsed="false">
      <c r="A132" s="135"/>
      <c r="B132" s="136"/>
      <c r="C132" s="137"/>
      <c r="D132" s="138"/>
      <c r="E132" s="139"/>
      <c r="F132" s="140" t="n">
        <v>459</v>
      </c>
    </row>
    <row r="133" customFormat="false" ht="14.25" hidden="false" customHeight="false" outlineLevel="0" collapsed="false">
      <c r="A133" s="135" t="n">
        <v>470</v>
      </c>
      <c r="B133" s="136" t="n">
        <v>470</v>
      </c>
      <c r="C133" s="137" t="n">
        <v>470</v>
      </c>
      <c r="D133" s="138" t="n">
        <v>464</v>
      </c>
      <c r="E133" s="139" t="n">
        <v>464</v>
      </c>
      <c r="F133" s="140" t="n">
        <v>464</v>
      </c>
    </row>
    <row r="134" customFormat="false" ht="14.25" hidden="false" customHeight="false" outlineLevel="0" collapsed="false">
      <c r="A134" s="135"/>
      <c r="B134" s="136"/>
      <c r="C134" s="137"/>
      <c r="D134" s="138"/>
      <c r="E134" s="139"/>
      <c r="F134" s="140" t="n">
        <v>470</v>
      </c>
    </row>
    <row r="135" customFormat="false" ht="14.25" hidden="false" customHeight="false" outlineLevel="0" collapsed="false">
      <c r="A135" s="135"/>
      <c r="B135" s="136"/>
      <c r="C135" s="137"/>
      <c r="D135" s="138"/>
      <c r="E135" s="139" t="n">
        <v>475</v>
      </c>
      <c r="F135" s="140" t="n">
        <v>475</v>
      </c>
    </row>
    <row r="136" customFormat="false" ht="14.25" hidden="false" customHeight="false" outlineLevel="0" collapsed="false">
      <c r="A136" s="135"/>
      <c r="B136" s="136"/>
      <c r="C136" s="137"/>
      <c r="D136" s="138"/>
      <c r="E136" s="139"/>
      <c r="F136" s="140" t="n">
        <v>481</v>
      </c>
    </row>
    <row r="137" customFormat="false" ht="14.25" hidden="false" customHeight="false" outlineLevel="0" collapsed="false">
      <c r="A137" s="135"/>
      <c r="B137" s="136"/>
      <c r="C137" s="137"/>
      <c r="D137" s="138" t="n">
        <v>487</v>
      </c>
      <c r="E137" s="139" t="n">
        <v>487</v>
      </c>
      <c r="F137" s="140" t="n">
        <v>487</v>
      </c>
    </row>
    <row r="138" customFormat="false" ht="14.25" hidden="false" customHeight="false" outlineLevel="0" collapsed="false">
      <c r="A138" s="135"/>
      <c r="B138" s="136"/>
      <c r="C138" s="137"/>
      <c r="D138" s="138"/>
      <c r="E138" s="139"/>
      <c r="F138" s="140" t="n">
        <v>493</v>
      </c>
    </row>
    <row r="139" customFormat="false" ht="14.25" hidden="false" customHeight="false" outlineLevel="0" collapsed="false">
      <c r="A139" s="135"/>
      <c r="B139" s="136"/>
      <c r="C139" s="137"/>
      <c r="D139" s="138"/>
      <c r="E139" s="139" t="n">
        <v>499</v>
      </c>
      <c r="F139" s="140" t="n">
        <v>499</v>
      </c>
    </row>
    <row r="140" customFormat="false" ht="14.25" hidden="false" customHeight="false" outlineLevel="0" collapsed="false">
      <c r="A140" s="135"/>
      <c r="B140" s="136"/>
      <c r="C140" s="137"/>
      <c r="D140" s="138"/>
      <c r="E140" s="139"/>
      <c r="F140" s="140" t="n">
        <v>505</v>
      </c>
    </row>
    <row r="141" customFormat="false" ht="14.25" hidden="false" customHeight="false" outlineLevel="0" collapsed="false">
      <c r="A141" s="135"/>
      <c r="B141" s="136"/>
      <c r="C141" s="137" t="n">
        <v>510</v>
      </c>
      <c r="D141" s="138" t="n">
        <v>511</v>
      </c>
      <c r="E141" s="139" t="n">
        <v>511</v>
      </c>
      <c r="F141" s="140" t="n">
        <v>511</v>
      </c>
    </row>
    <row r="142" customFormat="false" ht="14.25" hidden="false" customHeight="false" outlineLevel="0" collapsed="false">
      <c r="A142" s="135"/>
      <c r="B142" s="136"/>
      <c r="C142" s="137"/>
      <c r="D142" s="138"/>
      <c r="E142" s="139"/>
      <c r="F142" s="140" t="n">
        <v>517</v>
      </c>
    </row>
    <row r="143" customFormat="false" ht="14.25" hidden="false" customHeight="false" outlineLevel="0" collapsed="false">
      <c r="A143" s="135"/>
      <c r="B143" s="136"/>
      <c r="C143" s="137"/>
      <c r="D143" s="138"/>
      <c r="E143" s="139" t="n">
        <v>523</v>
      </c>
      <c r="F143" s="140" t="n">
        <v>523</v>
      </c>
    </row>
    <row r="144" customFormat="false" ht="14.25" hidden="false" customHeight="false" outlineLevel="0" collapsed="false">
      <c r="A144" s="135"/>
      <c r="B144" s="136"/>
      <c r="C144" s="137"/>
      <c r="D144" s="138"/>
      <c r="E144" s="139"/>
      <c r="F144" s="140" t="n">
        <v>530</v>
      </c>
    </row>
    <row r="145" customFormat="false" ht="14.25" hidden="false" customHeight="false" outlineLevel="0" collapsed="false">
      <c r="A145" s="135"/>
      <c r="B145" s="136"/>
      <c r="C145" s="137"/>
      <c r="D145" s="138" t="n">
        <v>536</v>
      </c>
      <c r="E145" s="139" t="n">
        <v>536</v>
      </c>
      <c r="F145" s="140" t="n">
        <v>536</v>
      </c>
    </row>
    <row r="146" customFormat="false" ht="14.25" hidden="false" customHeight="false" outlineLevel="0" collapsed="false">
      <c r="A146" s="135"/>
      <c r="B146" s="136"/>
      <c r="C146" s="137"/>
      <c r="D146" s="138"/>
      <c r="E146" s="139"/>
      <c r="F146" s="140" t="n">
        <v>542</v>
      </c>
    </row>
    <row r="147" customFormat="false" ht="14.25" hidden="false" customHeight="false" outlineLevel="0" collapsed="false">
      <c r="A147" s="135"/>
      <c r="B147" s="136"/>
      <c r="C147" s="137"/>
      <c r="D147" s="138"/>
      <c r="E147" s="139" t="n">
        <v>549</v>
      </c>
      <c r="F147" s="140" t="n">
        <v>549</v>
      </c>
    </row>
    <row r="148" customFormat="false" ht="14.25" hidden="false" customHeight="false" outlineLevel="0" collapsed="false">
      <c r="A148" s="135"/>
      <c r="B148" s="136"/>
      <c r="C148" s="137"/>
      <c r="D148" s="138"/>
      <c r="E148" s="139"/>
      <c r="F148" s="140" t="n">
        <v>556</v>
      </c>
    </row>
    <row r="149" customFormat="false" ht="14.25" hidden="false" customHeight="false" outlineLevel="0" collapsed="false">
      <c r="A149" s="135"/>
      <c r="B149" s="136" t="n">
        <v>560</v>
      </c>
      <c r="C149" s="137" t="n">
        <v>560</v>
      </c>
      <c r="D149" s="138" t="n">
        <v>562</v>
      </c>
      <c r="E149" s="139" t="n">
        <v>562</v>
      </c>
      <c r="F149" s="140" t="n">
        <v>562</v>
      </c>
    </row>
    <row r="150" customFormat="false" ht="14.25" hidden="false" customHeight="false" outlineLevel="0" collapsed="false">
      <c r="A150" s="135"/>
      <c r="B150" s="136"/>
      <c r="C150" s="137"/>
      <c r="D150" s="138"/>
      <c r="E150" s="139"/>
      <c r="F150" s="140" t="n">
        <v>569</v>
      </c>
    </row>
    <row r="151" customFormat="false" ht="14.25" hidden="false" customHeight="false" outlineLevel="0" collapsed="false">
      <c r="A151" s="135"/>
      <c r="B151" s="136"/>
      <c r="C151" s="137"/>
      <c r="D151" s="138"/>
      <c r="E151" s="139" t="n">
        <v>576</v>
      </c>
      <c r="F151" s="140" t="n">
        <v>576</v>
      </c>
    </row>
    <row r="152" customFormat="false" ht="14.25" hidden="false" customHeight="false" outlineLevel="0" collapsed="false">
      <c r="A152" s="135"/>
      <c r="B152" s="136"/>
      <c r="C152" s="137"/>
      <c r="D152" s="138"/>
      <c r="E152" s="139"/>
      <c r="F152" s="140" t="n">
        <v>583</v>
      </c>
    </row>
    <row r="153" customFormat="false" ht="14.25" hidden="false" customHeight="false" outlineLevel="0" collapsed="false">
      <c r="A153" s="135"/>
      <c r="B153" s="136"/>
      <c r="C153" s="137"/>
      <c r="D153" s="138" t="n">
        <v>590</v>
      </c>
      <c r="E153" s="139" t="n">
        <v>590</v>
      </c>
      <c r="F153" s="140" t="n">
        <v>590</v>
      </c>
    </row>
    <row r="154" customFormat="false" ht="14.25" hidden="false" customHeight="false" outlineLevel="0" collapsed="false">
      <c r="A154" s="135"/>
      <c r="B154" s="136"/>
      <c r="C154" s="137"/>
      <c r="D154" s="138"/>
      <c r="E154" s="139"/>
      <c r="F154" s="140" t="n">
        <v>597</v>
      </c>
    </row>
    <row r="155" customFormat="false" ht="14.25" hidden="false" customHeight="false" outlineLevel="0" collapsed="false">
      <c r="A155" s="135"/>
      <c r="B155" s="136"/>
      <c r="C155" s="137"/>
      <c r="D155" s="138"/>
      <c r="E155" s="139" t="n">
        <v>604</v>
      </c>
      <c r="F155" s="140" t="n">
        <v>604</v>
      </c>
    </row>
    <row r="156" customFormat="false" ht="14.25" hidden="false" customHeight="false" outlineLevel="0" collapsed="false">
      <c r="A156" s="135"/>
      <c r="B156" s="136"/>
      <c r="C156" s="137"/>
      <c r="D156" s="138"/>
      <c r="E156" s="139"/>
      <c r="F156" s="140" t="n">
        <v>612</v>
      </c>
    </row>
    <row r="157" customFormat="false" ht="14.25" hidden="false" customHeight="false" outlineLevel="0" collapsed="false">
      <c r="A157" s="135"/>
      <c r="B157" s="136"/>
      <c r="C157" s="137" t="n">
        <v>620</v>
      </c>
      <c r="D157" s="138" t="n">
        <v>619</v>
      </c>
      <c r="E157" s="139" t="n">
        <v>619</v>
      </c>
      <c r="F157" s="140" t="n">
        <v>619</v>
      </c>
    </row>
    <row r="158" customFormat="false" ht="14.25" hidden="false" customHeight="false" outlineLevel="0" collapsed="false">
      <c r="A158" s="135"/>
      <c r="B158" s="136"/>
      <c r="C158" s="137"/>
      <c r="D158" s="138"/>
      <c r="E158" s="139"/>
      <c r="F158" s="140" t="n">
        <v>626</v>
      </c>
    </row>
    <row r="159" customFormat="false" ht="14.25" hidden="false" customHeight="false" outlineLevel="0" collapsed="false">
      <c r="A159" s="135"/>
      <c r="B159" s="136"/>
      <c r="C159" s="137"/>
      <c r="D159" s="138"/>
      <c r="E159" s="139" t="n">
        <v>634</v>
      </c>
      <c r="F159" s="140" t="n">
        <v>634</v>
      </c>
    </row>
    <row r="160" customFormat="false" ht="14.25" hidden="false" customHeight="false" outlineLevel="0" collapsed="false">
      <c r="A160" s="135"/>
      <c r="B160" s="136"/>
      <c r="C160" s="137"/>
      <c r="D160" s="138"/>
      <c r="E160" s="139"/>
      <c r="F160" s="140" t="n">
        <v>642</v>
      </c>
    </row>
    <row r="161" customFormat="false" ht="14.25" hidden="false" customHeight="false" outlineLevel="0" collapsed="false">
      <c r="A161" s="135"/>
      <c r="B161" s="136"/>
      <c r="C161" s="137"/>
      <c r="D161" s="138" t="n">
        <v>649</v>
      </c>
      <c r="E161" s="139" t="n">
        <v>649</v>
      </c>
      <c r="F161" s="140" t="n">
        <v>649</v>
      </c>
    </row>
    <row r="162" customFormat="false" ht="14.25" hidden="false" customHeight="false" outlineLevel="0" collapsed="false">
      <c r="A162" s="135"/>
      <c r="B162" s="136"/>
      <c r="C162" s="137"/>
      <c r="D162" s="138"/>
      <c r="E162" s="139"/>
      <c r="F162" s="140" t="n">
        <v>657</v>
      </c>
    </row>
    <row r="163" customFormat="false" ht="14.25" hidden="false" customHeight="false" outlineLevel="0" collapsed="false">
      <c r="A163" s="135"/>
      <c r="B163" s="136"/>
      <c r="C163" s="137"/>
      <c r="D163" s="138"/>
      <c r="E163" s="139" t="n">
        <v>665</v>
      </c>
      <c r="F163" s="140" t="n">
        <v>665</v>
      </c>
    </row>
    <row r="164" customFormat="false" ht="14.25" hidden="false" customHeight="false" outlineLevel="0" collapsed="false">
      <c r="A164" s="135"/>
      <c r="B164" s="136"/>
      <c r="C164" s="137"/>
      <c r="D164" s="138"/>
      <c r="E164" s="139"/>
      <c r="F164" s="140" t="n">
        <v>673</v>
      </c>
    </row>
    <row r="165" customFormat="false" ht="14.25" hidden="false" customHeight="false" outlineLevel="0" collapsed="false">
      <c r="A165" s="135" t="n">
        <v>680</v>
      </c>
      <c r="B165" s="136" t="n">
        <v>680</v>
      </c>
      <c r="C165" s="137" t="n">
        <v>680</v>
      </c>
      <c r="D165" s="138" t="n">
        <v>681</v>
      </c>
      <c r="E165" s="139" t="n">
        <v>681</v>
      </c>
      <c r="F165" s="140" t="n">
        <v>681</v>
      </c>
    </row>
    <row r="166" customFormat="false" ht="14.25" hidden="false" customHeight="false" outlineLevel="0" collapsed="false">
      <c r="A166" s="135"/>
      <c r="B166" s="136"/>
      <c r="C166" s="137"/>
      <c r="D166" s="138"/>
      <c r="E166" s="139"/>
      <c r="F166" s="140" t="n">
        <v>690</v>
      </c>
    </row>
    <row r="167" customFormat="false" ht="14.25" hidden="false" customHeight="false" outlineLevel="0" collapsed="false">
      <c r="A167" s="135"/>
      <c r="B167" s="136"/>
      <c r="C167" s="137"/>
      <c r="D167" s="138"/>
      <c r="E167" s="139" t="n">
        <v>698</v>
      </c>
      <c r="F167" s="140" t="n">
        <v>698</v>
      </c>
    </row>
    <row r="168" customFormat="false" ht="14.25" hidden="false" customHeight="false" outlineLevel="0" collapsed="false">
      <c r="A168" s="135"/>
      <c r="B168" s="136"/>
      <c r="C168" s="137"/>
      <c r="D168" s="138"/>
      <c r="E168" s="139"/>
      <c r="F168" s="140" t="n">
        <v>706</v>
      </c>
    </row>
    <row r="169" customFormat="false" ht="14.25" hidden="false" customHeight="false" outlineLevel="0" collapsed="false">
      <c r="A169" s="135"/>
      <c r="B169" s="136"/>
      <c r="C169" s="137"/>
      <c r="D169" s="138" t="n">
        <v>715</v>
      </c>
      <c r="E169" s="139" t="n">
        <v>715</v>
      </c>
      <c r="F169" s="140" t="n">
        <v>715</v>
      </c>
    </row>
    <row r="170" customFormat="false" ht="14.25" hidden="false" customHeight="false" outlineLevel="0" collapsed="false">
      <c r="A170" s="135"/>
      <c r="B170" s="136"/>
      <c r="C170" s="137"/>
      <c r="D170" s="138"/>
      <c r="E170" s="139"/>
      <c r="F170" s="140" t="n">
        <v>723</v>
      </c>
    </row>
    <row r="171" customFormat="false" ht="14.25" hidden="false" customHeight="false" outlineLevel="0" collapsed="false">
      <c r="A171" s="135"/>
      <c r="B171" s="136"/>
      <c r="C171" s="137"/>
      <c r="D171" s="138"/>
      <c r="E171" s="139" t="n">
        <v>732</v>
      </c>
      <c r="F171" s="140" t="n">
        <v>732</v>
      </c>
    </row>
    <row r="172" customFormat="false" ht="14.25" hidden="false" customHeight="false" outlineLevel="0" collapsed="false">
      <c r="A172" s="135"/>
      <c r="B172" s="136"/>
      <c r="C172" s="137"/>
      <c r="D172" s="138"/>
      <c r="E172" s="139"/>
      <c r="F172" s="140" t="n">
        <v>741</v>
      </c>
    </row>
    <row r="173" customFormat="false" ht="14.25" hidden="false" customHeight="false" outlineLevel="0" collapsed="false">
      <c r="A173" s="135"/>
      <c r="B173" s="136"/>
      <c r="C173" s="137" t="n">
        <v>750</v>
      </c>
      <c r="D173" s="138" t="n">
        <v>750</v>
      </c>
      <c r="E173" s="139" t="n">
        <v>750</v>
      </c>
      <c r="F173" s="140" t="n">
        <v>750</v>
      </c>
    </row>
    <row r="174" customFormat="false" ht="14.25" hidden="false" customHeight="false" outlineLevel="0" collapsed="false">
      <c r="A174" s="135"/>
      <c r="B174" s="136"/>
      <c r="C174" s="137"/>
      <c r="D174" s="138"/>
      <c r="E174" s="139"/>
      <c r="F174" s="140" t="n">
        <v>759</v>
      </c>
    </row>
    <row r="175" customFormat="false" ht="14.25" hidden="false" customHeight="false" outlineLevel="0" collapsed="false">
      <c r="A175" s="135"/>
      <c r="B175" s="136"/>
      <c r="C175" s="137"/>
      <c r="D175" s="138"/>
      <c r="E175" s="139" t="n">
        <v>768</v>
      </c>
      <c r="F175" s="140" t="n">
        <v>768</v>
      </c>
    </row>
    <row r="176" customFormat="false" ht="14.25" hidden="false" customHeight="false" outlineLevel="0" collapsed="false">
      <c r="A176" s="135"/>
      <c r="B176" s="136"/>
      <c r="C176" s="137"/>
      <c r="D176" s="138"/>
      <c r="E176" s="139"/>
      <c r="F176" s="140" t="n">
        <v>777</v>
      </c>
    </row>
    <row r="177" customFormat="false" ht="14.25" hidden="false" customHeight="false" outlineLevel="0" collapsed="false">
      <c r="A177" s="135"/>
      <c r="B177" s="136"/>
      <c r="C177" s="137"/>
      <c r="D177" s="138" t="n">
        <v>787</v>
      </c>
      <c r="E177" s="139" t="n">
        <v>787</v>
      </c>
      <c r="F177" s="140" t="n">
        <v>787</v>
      </c>
    </row>
    <row r="178" customFormat="false" ht="14.25" hidden="false" customHeight="false" outlineLevel="0" collapsed="false">
      <c r="A178" s="135"/>
      <c r="B178" s="136"/>
      <c r="C178" s="137"/>
      <c r="D178" s="138"/>
      <c r="E178" s="139"/>
      <c r="F178" s="140" t="n">
        <v>796</v>
      </c>
    </row>
    <row r="179" customFormat="false" ht="14.25" hidden="false" customHeight="false" outlineLevel="0" collapsed="false">
      <c r="A179" s="135"/>
      <c r="B179" s="136"/>
      <c r="C179" s="137"/>
      <c r="D179" s="138"/>
      <c r="E179" s="139" t="n">
        <v>806</v>
      </c>
      <c r="F179" s="140" t="n">
        <v>806</v>
      </c>
    </row>
    <row r="180" customFormat="false" ht="14.25" hidden="false" customHeight="false" outlineLevel="0" collapsed="false">
      <c r="A180" s="135"/>
      <c r="B180" s="136"/>
      <c r="C180" s="137"/>
      <c r="D180" s="138"/>
      <c r="E180" s="139"/>
      <c r="F180" s="140" t="n">
        <v>816</v>
      </c>
    </row>
    <row r="181" customFormat="false" ht="14.25" hidden="false" customHeight="false" outlineLevel="0" collapsed="false">
      <c r="A181" s="135"/>
      <c r="B181" s="136" t="n">
        <v>820</v>
      </c>
      <c r="C181" s="137" t="n">
        <v>820</v>
      </c>
      <c r="D181" s="138" t="n">
        <v>825</v>
      </c>
      <c r="E181" s="139" t="n">
        <v>825</v>
      </c>
      <c r="F181" s="140" t="n">
        <v>825</v>
      </c>
    </row>
    <row r="182" customFormat="false" ht="14.25" hidden="false" customHeight="false" outlineLevel="0" collapsed="false">
      <c r="A182" s="135"/>
      <c r="B182" s="136"/>
      <c r="C182" s="137"/>
      <c r="D182" s="138"/>
      <c r="E182" s="139"/>
      <c r="F182" s="140" t="n">
        <v>835</v>
      </c>
    </row>
    <row r="183" customFormat="false" ht="14.25" hidden="false" customHeight="false" outlineLevel="0" collapsed="false">
      <c r="A183" s="135"/>
      <c r="B183" s="136"/>
      <c r="C183" s="137"/>
      <c r="D183" s="138"/>
      <c r="E183" s="139" t="n">
        <v>845</v>
      </c>
      <c r="F183" s="140" t="n">
        <v>845</v>
      </c>
    </row>
    <row r="184" customFormat="false" ht="14.25" hidden="false" customHeight="false" outlineLevel="0" collapsed="false">
      <c r="A184" s="135"/>
      <c r="B184" s="136"/>
      <c r="C184" s="137"/>
      <c r="D184" s="138"/>
      <c r="E184" s="139"/>
      <c r="F184" s="140" t="n">
        <v>856</v>
      </c>
    </row>
    <row r="185" customFormat="false" ht="14.25" hidden="false" customHeight="false" outlineLevel="0" collapsed="false">
      <c r="A185" s="135"/>
      <c r="B185" s="136"/>
      <c r="C185" s="137"/>
      <c r="D185" s="138" t="n">
        <v>866</v>
      </c>
      <c r="E185" s="139" t="n">
        <v>866</v>
      </c>
      <c r="F185" s="140" t="n">
        <v>866</v>
      </c>
    </row>
    <row r="186" customFormat="false" ht="14.25" hidden="false" customHeight="false" outlineLevel="0" collapsed="false">
      <c r="A186" s="135"/>
      <c r="B186" s="136"/>
      <c r="C186" s="137"/>
      <c r="D186" s="138"/>
      <c r="E186" s="139"/>
      <c r="F186" s="140" t="n">
        <v>876</v>
      </c>
    </row>
    <row r="187" customFormat="false" ht="14.25" hidden="false" customHeight="false" outlineLevel="0" collapsed="false">
      <c r="A187" s="135"/>
      <c r="B187" s="136"/>
      <c r="C187" s="137"/>
      <c r="D187" s="138"/>
      <c r="E187" s="139" t="n">
        <v>887</v>
      </c>
      <c r="F187" s="140" t="n">
        <v>887</v>
      </c>
    </row>
    <row r="188" customFormat="false" ht="14.25" hidden="false" customHeight="false" outlineLevel="0" collapsed="false">
      <c r="A188" s="135"/>
      <c r="B188" s="136"/>
      <c r="C188" s="137"/>
      <c r="D188" s="138"/>
      <c r="E188" s="139"/>
      <c r="F188" s="140" t="n">
        <v>898</v>
      </c>
    </row>
    <row r="189" customFormat="false" ht="14.25" hidden="false" customHeight="false" outlineLevel="0" collapsed="false">
      <c r="A189" s="135"/>
      <c r="B189" s="136"/>
      <c r="C189" s="137" t="n">
        <v>910</v>
      </c>
      <c r="D189" s="138" t="n">
        <v>909</v>
      </c>
      <c r="E189" s="139" t="n">
        <v>909</v>
      </c>
      <c r="F189" s="140" t="n">
        <v>909</v>
      </c>
    </row>
    <row r="190" customFormat="false" ht="14.25" hidden="false" customHeight="false" outlineLevel="0" collapsed="false">
      <c r="A190" s="135"/>
      <c r="B190" s="136"/>
      <c r="C190" s="137"/>
      <c r="D190" s="138"/>
      <c r="E190" s="139"/>
      <c r="F190" s="140" t="n">
        <v>920</v>
      </c>
    </row>
    <row r="191" customFormat="false" ht="14.25" hidden="false" customHeight="false" outlineLevel="0" collapsed="false">
      <c r="A191" s="135"/>
      <c r="B191" s="136"/>
      <c r="C191" s="137"/>
      <c r="D191" s="138"/>
      <c r="E191" s="139" t="n">
        <v>931</v>
      </c>
      <c r="F191" s="140" t="n">
        <v>931</v>
      </c>
    </row>
    <row r="192" customFormat="false" ht="14.25" hidden="false" customHeight="false" outlineLevel="0" collapsed="false">
      <c r="A192" s="135"/>
      <c r="B192" s="136"/>
      <c r="C192" s="137"/>
      <c r="D192" s="138"/>
      <c r="E192" s="139"/>
      <c r="F192" s="140" t="n">
        <v>942</v>
      </c>
    </row>
    <row r="193" customFormat="false" ht="14.25" hidden="false" customHeight="false" outlineLevel="0" collapsed="false">
      <c r="A193" s="135"/>
      <c r="B193" s="136"/>
      <c r="C193" s="137"/>
      <c r="D193" s="138" t="n">
        <v>953</v>
      </c>
      <c r="E193" s="139" t="n">
        <v>953</v>
      </c>
      <c r="F193" s="140" t="n">
        <v>953</v>
      </c>
    </row>
    <row r="194" customFormat="false" ht="14.25" hidden="false" customHeight="false" outlineLevel="0" collapsed="false">
      <c r="A194" s="135"/>
      <c r="B194" s="136"/>
      <c r="C194" s="137"/>
      <c r="D194" s="138"/>
      <c r="E194" s="139"/>
      <c r="F194" s="140" t="n">
        <v>965</v>
      </c>
    </row>
    <row r="195" customFormat="false" ht="14.25" hidden="false" customHeight="false" outlineLevel="0" collapsed="false">
      <c r="A195" s="135"/>
      <c r="B195" s="136"/>
      <c r="C195" s="137"/>
      <c r="D195" s="138"/>
      <c r="E195" s="139" t="n">
        <v>976</v>
      </c>
      <c r="F195" s="140" t="n">
        <v>976</v>
      </c>
    </row>
    <row r="196" customFormat="false" ht="14.25" hidden="false" customHeight="false" outlineLevel="0" collapsed="false">
      <c r="A196" s="135"/>
      <c r="B196" s="136"/>
      <c r="C196" s="137"/>
      <c r="D196" s="138"/>
      <c r="E196" s="139"/>
      <c r="F196" s="140" t="n">
        <v>988</v>
      </c>
    </row>
  </sheetData>
  <sheetProtection sheet="true" password="8553" objects="true" scenarios="true"/>
  <mergeCells count="187">
    <mergeCell ref="A1:F1"/>
    <mergeCell ref="A5:A36"/>
    <mergeCell ref="B5:B20"/>
    <mergeCell ref="C5:C12"/>
    <mergeCell ref="D5:D8"/>
    <mergeCell ref="E5:E6"/>
    <mergeCell ref="E7:E8"/>
    <mergeCell ref="D9:D12"/>
    <mergeCell ref="E9:E10"/>
    <mergeCell ref="E11:E12"/>
    <mergeCell ref="C13:C20"/>
    <mergeCell ref="D13:D16"/>
    <mergeCell ref="E13:E14"/>
    <mergeCell ref="E15:E16"/>
    <mergeCell ref="D17:D20"/>
    <mergeCell ref="E17:E18"/>
    <mergeCell ref="E19:E20"/>
    <mergeCell ref="B21:B36"/>
    <mergeCell ref="C21:C28"/>
    <mergeCell ref="D21:D24"/>
    <mergeCell ref="E21:E22"/>
    <mergeCell ref="E23:E24"/>
    <mergeCell ref="D25:D28"/>
    <mergeCell ref="E25:E26"/>
    <mergeCell ref="E27:E28"/>
    <mergeCell ref="C29:C36"/>
    <mergeCell ref="D29:D32"/>
    <mergeCell ref="E29:E30"/>
    <mergeCell ref="E31:E32"/>
    <mergeCell ref="D33:D36"/>
    <mergeCell ref="E33:E34"/>
    <mergeCell ref="E35:E36"/>
    <mergeCell ref="A37:A68"/>
    <mergeCell ref="B37:B52"/>
    <mergeCell ref="C37:C44"/>
    <mergeCell ref="D37:D40"/>
    <mergeCell ref="E37:E38"/>
    <mergeCell ref="E39:E40"/>
    <mergeCell ref="D41:D44"/>
    <mergeCell ref="E41:E42"/>
    <mergeCell ref="E43:E44"/>
    <mergeCell ref="C45:C52"/>
    <mergeCell ref="D45:D48"/>
    <mergeCell ref="E45:E46"/>
    <mergeCell ref="E47:E48"/>
    <mergeCell ref="D49:D52"/>
    <mergeCell ref="E49:E50"/>
    <mergeCell ref="E51:E52"/>
    <mergeCell ref="B53:B68"/>
    <mergeCell ref="C53:C60"/>
    <mergeCell ref="D53:D56"/>
    <mergeCell ref="E53:E54"/>
    <mergeCell ref="E55:E56"/>
    <mergeCell ref="D57:D60"/>
    <mergeCell ref="E57:E58"/>
    <mergeCell ref="E59:E60"/>
    <mergeCell ref="C61:C68"/>
    <mergeCell ref="D61:D64"/>
    <mergeCell ref="E61:E62"/>
    <mergeCell ref="E63:E64"/>
    <mergeCell ref="D65:D68"/>
    <mergeCell ref="E65:E66"/>
    <mergeCell ref="E67:E68"/>
    <mergeCell ref="A69:A100"/>
    <mergeCell ref="B69:B84"/>
    <mergeCell ref="C69:C76"/>
    <mergeCell ref="D69:D72"/>
    <mergeCell ref="E69:E70"/>
    <mergeCell ref="E71:E72"/>
    <mergeCell ref="D73:D76"/>
    <mergeCell ref="E73:E74"/>
    <mergeCell ref="E75:E76"/>
    <mergeCell ref="C77:C84"/>
    <mergeCell ref="D77:D80"/>
    <mergeCell ref="E77:E78"/>
    <mergeCell ref="E79:E80"/>
    <mergeCell ref="D81:D84"/>
    <mergeCell ref="E81:E82"/>
    <mergeCell ref="E83:E84"/>
    <mergeCell ref="B85:B100"/>
    <mergeCell ref="C85:C92"/>
    <mergeCell ref="D85:D88"/>
    <mergeCell ref="E85:E86"/>
    <mergeCell ref="E87:E88"/>
    <mergeCell ref="D89:D92"/>
    <mergeCell ref="E89:E90"/>
    <mergeCell ref="E91:E92"/>
    <mergeCell ref="C93:C100"/>
    <mergeCell ref="D93:D96"/>
    <mergeCell ref="E93:E94"/>
    <mergeCell ref="E95:E96"/>
    <mergeCell ref="D97:D100"/>
    <mergeCell ref="E97:E98"/>
    <mergeCell ref="E99:E100"/>
    <mergeCell ref="A101:A132"/>
    <mergeCell ref="B101:B116"/>
    <mergeCell ref="C101:C108"/>
    <mergeCell ref="D101:D104"/>
    <mergeCell ref="E101:E102"/>
    <mergeCell ref="E103:E104"/>
    <mergeCell ref="D105:D108"/>
    <mergeCell ref="E105:E106"/>
    <mergeCell ref="E107:E108"/>
    <mergeCell ref="C109:C116"/>
    <mergeCell ref="D109:D112"/>
    <mergeCell ref="E109:E110"/>
    <mergeCell ref="E111:E112"/>
    <mergeCell ref="D113:D116"/>
    <mergeCell ref="E113:E114"/>
    <mergeCell ref="E115:E116"/>
    <mergeCell ref="B117:B132"/>
    <mergeCell ref="C117:C124"/>
    <mergeCell ref="D117:D120"/>
    <mergeCell ref="E117:E118"/>
    <mergeCell ref="E119:E120"/>
    <mergeCell ref="D121:D124"/>
    <mergeCell ref="E121:E122"/>
    <mergeCell ref="E123:E124"/>
    <mergeCell ref="C125:C132"/>
    <mergeCell ref="D125:D128"/>
    <mergeCell ref="E125:E126"/>
    <mergeCell ref="E127:E128"/>
    <mergeCell ref="D129:D132"/>
    <mergeCell ref="E129:E130"/>
    <mergeCell ref="E131:E132"/>
    <mergeCell ref="A133:A164"/>
    <mergeCell ref="B133:B148"/>
    <mergeCell ref="C133:C140"/>
    <mergeCell ref="D133:D136"/>
    <mergeCell ref="E133:E134"/>
    <mergeCell ref="E135:E136"/>
    <mergeCell ref="D137:D140"/>
    <mergeCell ref="E137:E138"/>
    <mergeCell ref="E139:E140"/>
    <mergeCell ref="C141:C148"/>
    <mergeCell ref="D141:D144"/>
    <mergeCell ref="E141:E142"/>
    <mergeCell ref="E143:E144"/>
    <mergeCell ref="D145:D148"/>
    <mergeCell ref="E145:E146"/>
    <mergeCell ref="E147:E148"/>
    <mergeCell ref="B149:B164"/>
    <mergeCell ref="C149:C156"/>
    <mergeCell ref="D149:D152"/>
    <mergeCell ref="E149:E150"/>
    <mergeCell ref="E151:E152"/>
    <mergeCell ref="D153:D156"/>
    <mergeCell ref="E153:E154"/>
    <mergeCell ref="E155:E156"/>
    <mergeCell ref="C157:C164"/>
    <mergeCell ref="D157:D160"/>
    <mergeCell ref="E157:E158"/>
    <mergeCell ref="E159:E160"/>
    <mergeCell ref="D161:D164"/>
    <mergeCell ref="E161:E162"/>
    <mergeCell ref="E163:E164"/>
    <mergeCell ref="A165:A196"/>
    <mergeCell ref="B165:B180"/>
    <mergeCell ref="C165:C172"/>
    <mergeCell ref="D165:D168"/>
    <mergeCell ref="E165:E166"/>
    <mergeCell ref="E167:E168"/>
    <mergeCell ref="D169:D172"/>
    <mergeCell ref="E169:E170"/>
    <mergeCell ref="E171:E172"/>
    <mergeCell ref="C173:C180"/>
    <mergeCell ref="D173:D176"/>
    <mergeCell ref="E173:E174"/>
    <mergeCell ref="E175:E176"/>
    <mergeCell ref="D177:D180"/>
    <mergeCell ref="E177:E178"/>
    <mergeCell ref="E179:E180"/>
    <mergeCell ref="B181:B196"/>
    <mergeCell ref="C181:C188"/>
    <mergeCell ref="D181:D184"/>
    <mergeCell ref="E181:E182"/>
    <mergeCell ref="E183:E184"/>
    <mergeCell ref="D185:D188"/>
    <mergeCell ref="E185:E186"/>
    <mergeCell ref="E187:E188"/>
    <mergeCell ref="C189:C196"/>
    <mergeCell ref="D189:D192"/>
    <mergeCell ref="E189:E190"/>
    <mergeCell ref="E191:E192"/>
    <mergeCell ref="D193:D196"/>
    <mergeCell ref="E193:E194"/>
    <mergeCell ref="E195:E19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K18" activeCellId="1" sqref="C61:D61 K18"/>
    </sheetView>
  </sheetViews>
  <sheetFormatPr defaultColWidth="8.6875" defaultRowHeight="14.25" zeroHeight="false" outlineLevelRow="0" outlineLevelCol="0"/>
  <cols>
    <col collapsed="false" customWidth="true" hidden="false" outlineLevel="0" max="4" min="1" style="0" width="9.33"/>
  </cols>
  <sheetData>
    <row r="1" customFormat="false" ht="30.75" hidden="false" customHeight="false" outlineLevel="0" collapsed="false">
      <c r="A1" s="142" t="s">
        <v>169</v>
      </c>
    </row>
    <row r="2" customFormat="false" ht="14.25" hidden="false" customHeight="false" outlineLevel="0" collapsed="false">
      <c r="A2" s="143" t="s">
        <v>170</v>
      </c>
    </row>
    <row r="3" customFormat="false" ht="14.25" hidden="false" customHeight="false" outlineLevel="0" collapsed="false">
      <c r="A3" s="144" t="n">
        <v>0.01</v>
      </c>
    </row>
    <row r="4" customFormat="false" ht="14.25" hidden="false" customHeight="false" outlineLevel="0" collapsed="false">
      <c r="A4" s="144" t="n">
        <v>0.015</v>
      </c>
    </row>
    <row r="5" customFormat="false" ht="14.25" hidden="false" customHeight="false" outlineLevel="0" collapsed="false">
      <c r="A5" s="144" t="n">
        <v>0.022</v>
      </c>
    </row>
    <row r="6" customFormat="false" ht="14.25" hidden="false" customHeight="false" outlineLevel="0" collapsed="false">
      <c r="A6" s="144" t="n">
        <v>0.033</v>
      </c>
    </row>
    <row r="7" customFormat="false" ht="14.25" hidden="false" customHeight="false" outlineLevel="0" collapsed="false">
      <c r="A7" s="144" t="n">
        <v>0.047</v>
      </c>
    </row>
    <row r="8" customFormat="false" ht="14.25" hidden="false" customHeight="false" outlineLevel="0" collapsed="false">
      <c r="A8" s="144" t="n">
        <v>0.068</v>
      </c>
    </row>
    <row r="9" customFormat="false" ht="14.25" hidden="false" customHeight="false" outlineLevel="0" collapsed="false">
      <c r="A9" s="145" t="n">
        <v>0.1</v>
      </c>
    </row>
    <row r="10" customFormat="false" ht="14.25" hidden="false" customHeight="false" outlineLevel="0" collapsed="false">
      <c r="A10" s="145" t="n">
        <v>0.15</v>
      </c>
    </row>
    <row r="11" customFormat="false" ht="14.25" hidden="false" customHeight="false" outlineLevel="0" collapsed="false">
      <c r="A11" s="145" t="n">
        <v>0.22</v>
      </c>
    </row>
    <row r="12" customFormat="false" ht="14.25" hidden="false" customHeight="false" outlineLevel="0" collapsed="false">
      <c r="A12" s="145" t="n">
        <v>0.33</v>
      </c>
    </row>
    <row r="13" customFormat="false" ht="14.25" hidden="false" customHeight="false" outlineLevel="0" collapsed="false">
      <c r="A13" s="145" t="n">
        <v>0.47</v>
      </c>
    </row>
    <row r="14" customFormat="false" ht="14.25" hidden="false" customHeight="false" outlineLevel="0" collapsed="false">
      <c r="A14" s="145" t="n">
        <v>0.68</v>
      </c>
    </row>
    <row r="15" customFormat="false" ht="14.25" hidden="false" customHeight="false" outlineLevel="0" collapsed="false">
      <c r="A15" s="145" t="n">
        <v>1</v>
      </c>
    </row>
    <row r="16" customFormat="false" ht="14.25" hidden="false" customHeight="false" outlineLevel="0" collapsed="false">
      <c r="A16" s="145" t="n">
        <v>1.5</v>
      </c>
    </row>
    <row r="17" customFormat="false" ht="14.25" hidden="false" customHeight="false" outlineLevel="0" collapsed="false">
      <c r="A17" s="145" t="n">
        <v>2.2</v>
      </c>
    </row>
    <row r="18" customFormat="false" ht="14.25" hidden="false" customHeight="false" outlineLevel="0" collapsed="false">
      <c r="A18" s="145" t="n">
        <v>3.3</v>
      </c>
    </row>
    <row r="19" customFormat="false" ht="14.25" hidden="false" customHeight="false" outlineLevel="0" collapsed="false">
      <c r="A19" s="145" t="n">
        <v>4.7</v>
      </c>
    </row>
    <row r="20" customFormat="false" ht="14.25" hidden="false" customHeight="false" outlineLevel="0" collapsed="false">
      <c r="A20" s="146" t="n">
        <v>6.8</v>
      </c>
    </row>
    <row r="21" customFormat="false" ht="14.25" hidden="false" customHeight="false" outlineLevel="0" collapsed="false">
      <c r="A21" s="146" t="n">
        <v>10</v>
      </c>
    </row>
    <row r="22" customFormat="false" ht="14.25" hidden="false" customHeight="false" outlineLevel="0" collapsed="false">
      <c r="A22" s="146" t="n">
        <v>15</v>
      </c>
    </row>
    <row r="23" customFormat="false" ht="14.25" hidden="false" customHeight="false" outlineLevel="0" collapsed="false">
      <c r="A23" s="146" t="n">
        <v>22</v>
      </c>
    </row>
    <row r="24" customFormat="false" ht="14.25" hidden="false" customHeight="false" outlineLevel="0" collapsed="false">
      <c r="A24" s="147" t="n">
        <v>33</v>
      </c>
    </row>
    <row r="25" customFormat="false" ht="14.25" hidden="false" customHeight="false" outlineLevel="0" collapsed="false">
      <c r="A25" s="148" t="n">
        <v>47</v>
      </c>
    </row>
    <row r="26" customFormat="false" ht="14.25" hidden="false" customHeight="false" outlineLevel="0" collapsed="false">
      <c r="A26" s="148" t="n">
        <v>68</v>
      </c>
    </row>
    <row r="27" customFormat="false" ht="14.25" hidden="false" customHeight="false" outlineLevel="0" collapsed="false">
      <c r="A27" s="148" t="n">
        <v>100</v>
      </c>
    </row>
  </sheetData>
  <sheetProtection sheet="true" password="8553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2205</TotalTime>
  <Application>LibreOffice/7.3.7.2$Linux_X86_64 LibreOffice_project/30$Build-2</Application>
  <AppVersion>15.0000</AppVersion>
  <Company>Texas Instruments Incorporated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2013-05-30T14:28:05Z</dcterms:created>
  <dc:creator>a0393740</dc:creator>
  <dc:description/>
  <dc:language>en-US</dc:language>
  <cp:lastModifiedBy/>
  <cp:lastPrinted>2013-06-05T10:58:25Z</cp:lastPrinted>
  <dcterms:modified xsi:type="dcterms:W3CDTF">2025-07-13T22:18:53Z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